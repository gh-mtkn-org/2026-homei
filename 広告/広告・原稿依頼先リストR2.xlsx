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16874121818/WOPIServiceId_TP_BOX_2/WOPIUserId_-/"/>
    </mc:Choice>
  </mc:AlternateContent>
  <xr:revisionPtr revIDLastSave="0" documentId="8_{06B78199-14CF-4DC8-8060-5A18F44107CF}" xr6:coauthVersionLast="47" xr6:coauthVersionMax="47" xr10:uidLastSave="{00000000-0000-0000-0000-000000000000}"/>
  <bookViews>
    <workbookView xWindow="-110" yWindow="-110" windowWidth="19420" windowHeight="11500" activeTab="1" xr2:uid="{136C9027-5C96-4FC2-824B-BF23B980C57B}"/>
  </bookViews>
  <sheets>
    <sheet name="2025年度(36回 参考)" sheetId="1" r:id="rId1"/>
    <sheet name="2026年度(37回 今回)" sheetId="4" r:id="rId2"/>
    <sheet name="広告サイズ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" l="1"/>
  <c r="E23" i="1"/>
</calcChain>
</file>

<file path=xl/sharedStrings.xml><?xml version="1.0" encoding="utf-8"?>
<sst xmlns="http://schemas.openxmlformats.org/spreadsheetml/2006/main" count="492" uniqueCount="212">
  <si>
    <t>広告主</t>
    <rPh sb="0" eb="3">
      <t>コウコクヌシ</t>
    </rPh>
    <phoneticPr fontId="3"/>
  </si>
  <si>
    <t>担当</t>
    <rPh sb="0" eb="2">
      <t>タントウ</t>
    </rPh>
    <phoneticPr fontId="3"/>
  </si>
  <si>
    <t>広告費</t>
    <rPh sb="0" eb="3">
      <t>コウコクヒ</t>
    </rPh>
    <phoneticPr fontId="3"/>
  </si>
  <si>
    <t>サイズ</t>
    <phoneticPr fontId="3"/>
  </si>
  <si>
    <t>備考</t>
    <rPh sb="0" eb="2">
      <t>ビコウ</t>
    </rPh>
    <phoneticPr fontId="3"/>
  </si>
  <si>
    <t>OK</t>
    <phoneticPr fontId="3"/>
  </si>
  <si>
    <t>媽媽</t>
    <phoneticPr fontId="3"/>
  </si>
  <si>
    <t>未</t>
  </si>
  <si>
    <t>未</t>
    <rPh sb="0" eb="1">
      <t>ミ</t>
    </rPh>
    <phoneticPr fontId="3"/>
  </si>
  <si>
    <t>畠澤</t>
    <phoneticPr fontId="3"/>
  </si>
  <si>
    <t>石川</t>
    <rPh sb="0" eb="2">
      <t>イシカワ</t>
    </rPh>
    <phoneticPr fontId="3"/>
  </si>
  <si>
    <t>高坂</t>
    <rPh sb="0" eb="2">
      <t>コウサカ</t>
    </rPh>
    <phoneticPr fontId="3"/>
  </si>
  <si>
    <t>奥野総合法律事務所</t>
    <phoneticPr fontId="3"/>
  </si>
  <si>
    <t>１０CC</t>
    <phoneticPr fontId="3"/>
  </si>
  <si>
    <t>櫻庭</t>
    <rPh sb="0" eb="2">
      <t>サクラバ</t>
    </rPh>
    <phoneticPr fontId="3"/>
  </si>
  <si>
    <t>済み</t>
    <rPh sb="0" eb="1">
      <t>ス</t>
    </rPh>
    <phoneticPr fontId="3"/>
  </si>
  <si>
    <t>齋藤</t>
    <rPh sb="0" eb="2">
      <t>サイトウ</t>
    </rPh>
    <phoneticPr fontId="3"/>
  </si>
  <si>
    <t>藤岡</t>
    <rPh sb="0" eb="2">
      <t>フジオカ</t>
    </rPh>
    <phoneticPr fontId="3"/>
  </si>
  <si>
    <t>まちなみ</t>
    <phoneticPr fontId="3"/>
  </si>
  <si>
    <t>応募状況</t>
    <rPh sb="0" eb="2">
      <t>オウボ</t>
    </rPh>
    <rPh sb="2" eb="4">
      <t>ジョウキョウ</t>
    </rPh>
    <phoneticPr fontId="3"/>
  </si>
  <si>
    <t>No</t>
    <phoneticPr fontId="3"/>
  </si>
  <si>
    <t>３０期</t>
    <rPh sb="2" eb="3">
      <t>キ</t>
    </rPh>
    <phoneticPr fontId="3"/>
  </si>
  <si>
    <t>村上総合保険事務所</t>
    <phoneticPr fontId="3"/>
  </si>
  <si>
    <t>櫻庭広樹(47期)</t>
    <rPh sb="0" eb="4">
      <t>サクラバヒロキ</t>
    </rPh>
    <rPh sb="7" eb="8">
      <t>キ</t>
    </rPh>
    <phoneticPr fontId="3"/>
  </si>
  <si>
    <t>伊藤由紀子(31期)</t>
    <rPh sb="0" eb="2">
      <t>イトウ</t>
    </rPh>
    <rPh sb="2" eb="5">
      <t>ユキコ</t>
    </rPh>
    <rPh sb="8" eb="9">
      <t>キ</t>
    </rPh>
    <phoneticPr fontId="3"/>
  </si>
  <si>
    <t>収集</t>
    <rPh sb="0" eb="2">
      <t>シュウシュウ</t>
    </rPh>
    <phoneticPr fontId="3"/>
  </si>
  <si>
    <t>奈良会計事務所</t>
    <phoneticPr fontId="3"/>
  </si>
  <si>
    <t>２１期</t>
    <phoneticPr fontId="3"/>
  </si>
  <si>
    <t>村上芳明(14期) 03-3590-0217</t>
    <phoneticPr fontId="3"/>
  </si>
  <si>
    <t>連絡先</t>
    <rPh sb="0" eb="3">
      <t>レンラクサキ</t>
    </rPh>
    <phoneticPr fontId="3"/>
  </si>
  <si>
    <t>古畑病院</t>
    <rPh sb="0" eb="4">
      <t>フルハタビョウイン</t>
    </rPh>
    <phoneticPr fontId="3"/>
  </si>
  <si>
    <t>佐藤茂樹(20期)</t>
    <rPh sb="0" eb="4">
      <t>サトウシゲキ</t>
    </rPh>
    <rPh sb="7" eb="8">
      <t>キ</t>
    </rPh>
    <phoneticPr fontId="3"/>
  </si>
  <si>
    <t>２０期</t>
  </si>
  <si>
    <t>小料理 楓</t>
    <rPh sb="0" eb="3">
      <t>コリョウリ</t>
    </rPh>
    <phoneticPr fontId="3"/>
  </si>
  <si>
    <t>広告サイズ</t>
    <rPh sb="0" eb="2">
      <t>コウコク</t>
    </rPh>
    <phoneticPr fontId="3"/>
  </si>
  <si>
    <t>小板橋洋之(40期)</t>
    <rPh sb="0" eb="3">
      <t>コイタバシ</t>
    </rPh>
    <rPh sb="3" eb="4">
      <t>ヨウ</t>
    </rPh>
    <rPh sb="4" eb="5">
      <t>ノ</t>
    </rPh>
    <rPh sb="8" eb="9">
      <t>キ</t>
    </rPh>
    <phoneticPr fontId="3"/>
  </si>
  <si>
    <t>畠澤</t>
    <rPh sb="0" eb="2">
      <t>ハタザワ</t>
    </rPh>
    <phoneticPr fontId="3"/>
  </si>
  <si>
    <t>十四期会(としごろ会)</t>
    <rPh sb="0" eb="3">
      <t>ジュウヨンキ</t>
    </rPh>
    <rPh sb="3" eb="4">
      <t>カイ</t>
    </rPh>
    <rPh sb="9" eb="10">
      <t>カイ</t>
    </rPh>
    <phoneticPr fontId="3"/>
  </si>
  <si>
    <t>関西大館鳳鳴会</t>
    <rPh sb="2" eb="4">
      <t>オオダテ</t>
    </rPh>
    <phoneticPr fontId="3"/>
  </si>
  <si>
    <t>24年度広告</t>
    <rPh sb="2" eb="4">
      <t>ネンド</t>
    </rPh>
    <rPh sb="4" eb="6">
      <t>コウコク</t>
    </rPh>
    <phoneticPr fontId="3"/>
  </si>
  <si>
    <t>奈良洋(35期)</t>
    <rPh sb="0" eb="2">
      <t>ナラ</t>
    </rPh>
    <rPh sb="2" eb="3">
      <t>ヨウ</t>
    </rPh>
    <rPh sb="6" eb="7">
      <t>キ</t>
    </rPh>
    <phoneticPr fontId="3"/>
  </si>
  <si>
    <t>三澤威文人(36期)</t>
    <rPh sb="3" eb="5">
      <t>フミト</t>
    </rPh>
    <rPh sb="8" eb="9">
      <t>キ</t>
    </rPh>
    <phoneticPr fontId="3"/>
  </si>
  <si>
    <t>割烹 美さわ</t>
    <rPh sb="0" eb="2">
      <t>カッポウ</t>
    </rPh>
    <rPh sb="3" eb="4">
      <t>ミ</t>
    </rPh>
    <phoneticPr fontId="3"/>
  </si>
  <si>
    <t>料亭 北秋倶楽部</t>
    <rPh sb="0" eb="2">
      <t>リョウテイ</t>
    </rPh>
    <rPh sb="5" eb="8">
      <t>クラブ</t>
    </rPh>
    <phoneticPr fontId="3"/>
  </si>
  <si>
    <t>今期初広告</t>
    <rPh sb="0" eb="2">
      <t>コンキ</t>
    </rPh>
    <rPh sb="2" eb="3">
      <t>ハツ</t>
    </rPh>
    <rPh sb="3" eb="5">
      <t>コウコク</t>
    </rPh>
    <phoneticPr fontId="3"/>
  </si>
  <si>
    <t>24年度コラム、今期初広告</t>
    <rPh sb="2" eb="4">
      <t>ネンド</t>
    </rPh>
    <rPh sb="8" eb="10">
      <t>コンキ</t>
    </rPh>
    <rPh sb="10" eb="11">
      <t>ハツ</t>
    </rPh>
    <rPh sb="11" eb="13">
      <t>コウコク</t>
    </rPh>
    <phoneticPr fontId="3"/>
  </si>
  <si>
    <t>応募状況</t>
    <rPh sb="0" eb="4">
      <t>オウボジョウキョウ</t>
    </rPh>
    <phoneticPr fontId="3"/>
  </si>
  <si>
    <t>成澤</t>
    <rPh sb="0" eb="2">
      <t>ナリサワ</t>
    </rPh>
    <phoneticPr fontId="3"/>
  </si>
  <si>
    <t>鳳鳴野球部活動</t>
    <rPh sb="0" eb="5">
      <t>ホウメイヤキュウブ</t>
    </rPh>
    <rPh sb="5" eb="7">
      <t>カツドウ</t>
    </rPh>
    <phoneticPr fontId="3"/>
  </si>
  <si>
    <t>田中義</t>
    <rPh sb="0" eb="2">
      <t>タナカ</t>
    </rPh>
    <rPh sb="2" eb="3">
      <t>ヨシ</t>
    </rPh>
    <phoneticPr fontId="3"/>
  </si>
  <si>
    <t>鈴木正元会長提供資料</t>
    <rPh sb="6" eb="10">
      <t>テイキョウシリョウ</t>
    </rPh>
    <phoneticPr fontId="3"/>
  </si>
  <si>
    <t>原稿内容</t>
    <rPh sb="0" eb="4">
      <t>ゲンコウナイヨウ</t>
    </rPh>
    <phoneticPr fontId="3"/>
  </si>
  <si>
    <t>1～2段</t>
    <rPh sb="3" eb="4">
      <t>ダン</t>
    </rPh>
    <phoneticPr fontId="3"/>
  </si>
  <si>
    <t>29期田村</t>
    <phoneticPr fontId="3"/>
  </si>
  <si>
    <t>30期小林</t>
    <phoneticPr fontId="3"/>
  </si>
  <si>
    <t>34期三木</t>
    <phoneticPr fontId="3"/>
  </si>
  <si>
    <t>47期櫻庭</t>
    <phoneticPr fontId="3"/>
  </si>
  <si>
    <t>67期松岡</t>
    <phoneticPr fontId="3"/>
  </si>
  <si>
    <t>写真含む</t>
    <rPh sb="0" eb="2">
      <t>シャシン</t>
    </rPh>
    <rPh sb="2" eb="3">
      <t>フク</t>
    </rPh>
    <phoneticPr fontId="3"/>
  </si>
  <si>
    <t>深井裕之校長挨拶文</t>
    <rPh sb="4" eb="6">
      <t>コウチョウ</t>
    </rPh>
    <rPh sb="6" eb="8">
      <t>アイサツ</t>
    </rPh>
    <rPh sb="8" eb="9">
      <t>ブン</t>
    </rPh>
    <phoneticPr fontId="3"/>
  </si>
  <si>
    <t>ゴルフ同好会歴史記事</t>
    <rPh sb="3" eb="6">
      <t>ドウコウカイ</t>
    </rPh>
    <rPh sb="6" eb="8">
      <t>レキシ</t>
    </rPh>
    <rPh sb="8" eb="10">
      <t>キジ</t>
    </rPh>
    <phoneticPr fontId="3"/>
  </si>
  <si>
    <t>15期幸坂正次</t>
    <rPh sb="2" eb="3">
      <t>キ</t>
    </rPh>
    <phoneticPr fontId="3"/>
  </si>
  <si>
    <t>佐藤洋子</t>
    <rPh sb="0" eb="4">
      <t>サトウヨウコ</t>
    </rPh>
    <phoneticPr fontId="3"/>
  </si>
  <si>
    <t>オーラム御徒町(会場)</t>
    <rPh sb="8" eb="10">
      <t>カイジョウ</t>
    </rPh>
    <phoneticPr fontId="3"/>
  </si>
  <si>
    <t>第69回ゴルフコンペ感想記事</t>
    <rPh sb="0" eb="1">
      <t>ダイ</t>
    </rPh>
    <rPh sb="3" eb="4">
      <t>カイ</t>
    </rPh>
    <rPh sb="10" eb="12">
      <t>カンソウ</t>
    </rPh>
    <rPh sb="12" eb="14">
      <t>キジ</t>
    </rPh>
    <phoneticPr fontId="3"/>
  </si>
  <si>
    <t>7名参加</t>
    <phoneticPr fontId="3"/>
  </si>
  <si>
    <t>２０２５年度 会報３６号　広告リスト</t>
    <rPh sb="4" eb="6">
      <t>ネンド</t>
    </rPh>
    <rPh sb="7" eb="9">
      <t>カイホウ</t>
    </rPh>
    <rPh sb="11" eb="12">
      <t>ゴウ</t>
    </rPh>
    <rPh sb="13" eb="14">
      <t>ヒロ</t>
    </rPh>
    <rPh sb="14" eb="15">
      <t>コク</t>
    </rPh>
    <phoneticPr fontId="3"/>
  </si>
  <si>
    <t>２０２５年度 会報３６号　原稿リスト</t>
    <rPh sb="4" eb="6">
      <t>ネンド</t>
    </rPh>
    <rPh sb="7" eb="9">
      <t>カイホウ</t>
    </rPh>
    <rPh sb="11" eb="12">
      <t>ゴウ</t>
    </rPh>
    <rPh sb="13" eb="15">
      <t>ゲンコウ</t>
    </rPh>
    <phoneticPr fontId="3"/>
  </si>
  <si>
    <t>2024年度総会振返り</t>
    <rPh sb="4" eb="6">
      <t>ネンド</t>
    </rPh>
    <phoneticPr fontId="3"/>
  </si>
  <si>
    <t>　　〃</t>
    <phoneticPr fontId="3"/>
  </si>
  <si>
    <t>計　</t>
    <rPh sb="0" eb="1">
      <t>ケイ</t>
    </rPh>
    <phoneticPr fontId="3"/>
  </si>
  <si>
    <t>段</t>
    <rPh sb="0" eb="1">
      <t>ダン</t>
    </rPh>
    <phoneticPr fontId="3"/>
  </si>
  <si>
    <t>今期初広告、今期原稿</t>
    <rPh sb="0" eb="2">
      <t>コンキ</t>
    </rPh>
    <rPh sb="2" eb="3">
      <t>ハツ</t>
    </rPh>
    <rPh sb="3" eb="5">
      <t>コウコク</t>
    </rPh>
    <rPh sb="6" eb="8">
      <t>コンキ</t>
    </rPh>
    <rPh sb="8" eb="10">
      <t>ゲンコウ</t>
    </rPh>
    <phoneticPr fontId="3"/>
  </si>
  <si>
    <t>⇒</t>
    <phoneticPr fontId="3"/>
  </si>
  <si>
    <t>目標；12段</t>
    <rPh sb="0" eb="2">
      <t>モクヒョウ</t>
    </rPh>
    <rPh sb="5" eb="6">
      <t>ダン</t>
    </rPh>
    <phoneticPr fontId="3"/>
  </si>
  <si>
    <t>38期福原淳嗣</t>
    <phoneticPr fontId="3"/>
  </si>
  <si>
    <t>衆議院議員(1期)記事</t>
    <rPh sb="0" eb="5">
      <t>シュウギインギイン</t>
    </rPh>
    <rPh sb="7" eb="8">
      <t>キ</t>
    </rPh>
    <rPh sb="9" eb="11">
      <t>キジ</t>
    </rPh>
    <phoneticPr fontId="3"/>
  </si>
  <si>
    <t>石川会長ご挨拶</t>
    <rPh sb="0" eb="4">
      <t>イシカワカイチョウ</t>
    </rPh>
    <rPh sb="5" eb="7">
      <t>アイサツ</t>
    </rPh>
    <phoneticPr fontId="3"/>
  </si>
  <si>
    <t>※営業部三上氏；03-5812-1123</t>
    <rPh sb="1" eb="4">
      <t>エイギョウブ</t>
    </rPh>
    <rPh sb="4" eb="6">
      <t>ミカミ</t>
    </rPh>
    <rPh sb="6" eb="7">
      <t>シ</t>
    </rPh>
    <phoneticPr fontId="3"/>
  </si>
  <si>
    <t>9期深井（以下敬称略）</t>
    <rPh sb="5" eb="7">
      <t>イカ</t>
    </rPh>
    <rPh sb="7" eb="10">
      <t>ケイショウリャク</t>
    </rPh>
    <phoneticPr fontId="3"/>
  </si>
  <si>
    <t>佐藤正行会長(21期)080-5683-9624</t>
    <rPh sb="0" eb="2">
      <t>サトウ</t>
    </rPh>
    <rPh sb="2" eb="4">
      <t>マサユキ</t>
    </rPh>
    <rPh sb="4" eb="6">
      <t>カイチョウ</t>
    </rPh>
    <rPh sb="9" eb="10">
      <t>キ</t>
    </rPh>
    <phoneticPr fontId="3"/>
  </si>
  <si>
    <t>NG</t>
    <phoneticPr fontId="3"/>
  </si>
  <si>
    <t>ー</t>
    <phoneticPr fontId="3"/>
  </si>
  <si>
    <t>6/5代表に確認も掲載はNG</t>
    <rPh sb="3" eb="5">
      <t>ダイヒョウ</t>
    </rPh>
    <rPh sb="6" eb="8">
      <t>カクニン</t>
    </rPh>
    <rPh sb="9" eb="11">
      <t>ケイサイ</t>
    </rPh>
    <phoneticPr fontId="3"/>
  </si>
  <si>
    <t>写真含む</t>
  </si>
  <si>
    <t>石川</t>
  </si>
  <si>
    <t>済み</t>
  </si>
  <si>
    <t>NG</t>
  </si>
  <si>
    <t>OK</t>
  </si>
  <si>
    <t>18期鈴木</t>
    <rPh sb="3" eb="5">
      <t>スズキ</t>
    </rPh>
    <phoneticPr fontId="3"/>
  </si>
  <si>
    <t>49期長岐</t>
    <rPh sb="3" eb="5">
      <t>ナガキ</t>
    </rPh>
    <phoneticPr fontId="3"/>
  </si>
  <si>
    <t>ー</t>
  </si>
  <si>
    <t>石川</t>
    <rPh sb="0" eb="2">
      <t>イシカワ</t>
    </rPh>
    <phoneticPr fontId="3"/>
  </si>
  <si>
    <t>一軒家レストランしぇんろん</t>
  </si>
  <si>
    <t>マグワイヤ森岡由紀子会長</t>
    <rPh sb="5" eb="7">
      <t>モリオカ</t>
    </rPh>
    <rPh sb="7" eb="10">
      <t>ユキコ</t>
    </rPh>
    <rPh sb="10" eb="12">
      <t>カイチョウ</t>
    </rPh>
    <phoneticPr fontId="3"/>
  </si>
  <si>
    <t>ー</t>
    <phoneticPr fontId="3"/>
  </si>
  <si>
    <t>青森のジャズな人々</t>
    <rPh sb="0" eb="2">
      <t>アオモリ</t>
    </rPh>
    <rPh sb="7" eb="9">
      <t>ヒトビト</t>
    </rPh>
    <phoneticPr fontId="3"/>
  </si>
  <si>
    <t>OK</t>
    <phoneticPr fontId="3"/>
  </si>
  <si>
    <t>20期佐藤前会長</t>
    <rPh sb="2" eb="3">
      <t>キ</t>
    </rPh>
    <phoneticPr fontId="3"/>
  </si>
  <si>
    <t>済み</t>
    <rPh sb="0" eb="1">
      <t>ス</t>
    </rPh>
    <phoneticPr fontId="3"/>
  </si>
  <si>
    <t>秋高連総会</t>
    <rPh sb="3" eb="5">
      <t>ソウカイ</t>
    </rPh>
    <phoneticPr fontId="3"/>
  </si>
  <si>
    <t>25年度会費納入のお願い</t>
    <rPh sb="2" eb="4">
      <t>ネンド</t>
    </rPh>
    <rPh sb="4" eb="6">
      <t>カイヒ</t>
    </rPh>
    <rPh sb="6" eb="8">
      <t>ノウニュウ</t>
    </rPh>
    <rPh sb="10" eb="11">
      <t>ネガ</t>
    </rPh>
    <phoneticPr fontId="3"/>
  </si>
  <si>
    <t>畠澤</t>
    <rPh sb="0" eb="2">
      <t>ハタザワ</t>
    </rPh>
    <phoneticPr fontId="3"/>
  </si>
  <si>
    <t>24年度広告流用</t>
    <rPh sb="2" eb="4">
      <t>ネンド</t>
    </rPh>
    <rPh sb="4" eb="6">
      <t>コウコク</t>
    </rPh>
    <rPh sb="6" eb="8">
      <t>リュウヨウ</t>
    </rPh>
    <phoneticPr fontId="3"/>
  </si>
  <si>
    <t>第17回鳳鳴塾感想記事</t>
    <rPh sb="0" eb="1">
      <t>ダイ</t>
    </rPh>
    <rPh sb="3" eb="4">
      <t>カイ</t>
    </rPh>
    <rPh sb="4" eb="6">
      <t>ホウメイ</t>
    </rPh>
    <rPh sb="6" eb="7">
      <t>ジュク</t>
    </rPh>
    <rPh sb="7" eb="9">
      <t>カンソウ</t>
    </rPh>
    <rPh sb="9" eb="11">
      <t>キジ</t>
    </rPh>
    <phoneticPr fontId="3"/>
  </si>
  <si>
    <t>2024年度総会振返り（染物展示）</t>
    <rPh sb="4" eb="6">
      <t>ネンド</t>
    </rPh>
    <rPh sb="6" eb="8">
      <t>ソウカイ</t>
    </rPh>
    <rPh sb="8" eb="9">
      <t>フ</t>
    </rPh>
    <rPh sb="9" eb="10">
      <t>カエ</t>
    </rPh>
    <rPh sb="12" eb="14">
      <t>ソメモノ</t>
    </rPh>
    <rPh sb="14" eb="16">
      <t>テンジ</t>
    </rPh>
    <phoneticPr fontId="3"/>
  </si>
  <si>
    <t>済み</t>
    <phoneticPr fontId="3"/>
  </si>
  <si>
    <t>石川博司（30期）</t>
    <phoneticPr fontId="3"/>
  </si>
  <si>
    <t>？</t>
    <phoneticPr fontId="3"/>
  </si>
  <si>
    <t>羽鳥祐司(旧姓田村)78年大館鳳鳴卒</t>
    <phoneticPr fontId="3"/>
  </si>
  <si>
    <t>齋藤</t>
    <phoneticPr fontId="3"/>
  </si>
  <si>
    <t>24年度広告を流用</t>
    <rPh sb="2" eb="4">
      <t>ネンド</t>
    </rPh>
    <rPh sb="4" eb="6">
      <t>コウコク</t>
    </rPh>
    <rPh sb="7" eb="9">
      <t>リュウヨウ</t>
    </rPh>
    <phoneticPr fontId="3"/>
  </si>
  <si>
    <t>同上記事用の会費納入状況グラフ</t>
    <rPh sb="0" eb="2">
      <t>ドウジョウ</t>
    </rPh>
    <rPh sb="2" eb="5">
      <t>キジヨウ</t>
    </rPh>
    <rPh sb="6" eb="12">
      <t>カイヒノウニュウジョウキョウ</t>
    </rPh>
    <phoneticPr fontId="3"/>
  </si>
  <si>
    <t>三澤さんのリレーコラム</t>
    <rPh sb="0" eb="2">
      <t>ミサワ</t>
    </rPh>
    <phoneticPr fontId="3"/>
  </si>
  <si>
    <t>会報スペースが余った時の予備用(6/29協議）</t>
    <rPh sb="0" eb="2">
      <t>カイホウ</t>
    </rPh>
    <rPh sb="7" eb="8">
      <t>アマ</t>
    </rPh>
    <rPh sb="10" eb="11">
      <t>トキ</t>
    </rPh>
    <rPh sb="12" eb="15">
      <t>ヨビヨウ</t>
    </rPh>
    <rPh sb="20" eb="22">
      <t>キョウギ</t>
    </rPh>
    <phoneticPr fontId="3"/>
  </si>
  <si>
    <t>窮状が視覚的に判るものが欲しい（6/29協議）</t>
    <rPh sb="0" eb="2">
      <t>キュウジョウ</t>
    </rPh>
    <rPh sb="3" eb="6">
      <t>シカクテキ</t>
    </rPh>
    <rPh sb="7" eb="8">
      <t>ワカ</t>
    </rPh>
    <rPh sb="12" eb="13">
      <t>ホ</t>
    </rPh>
    <rPh sb="20" eb="22">
      <t>キョウギ</t>
    </rPh>
    <phoneticPr fontId="3"/>
  </si>
  <si>
    <t>その他</t>
    <rPh sb="2" eb="3">
      <t>タ</t>
    </rPh>
    <phoneticPr fontId="3"/>
  </si>
  <si>
    <t>ふるさと縁の店紹介　割烹 美さわ</t>
    <rPh sb="4" eb="5">
      <t>ユカリ</t>
    </rPh>
    <rPh sb="6" eb="7">
      <t>ミセ</t>
    </rPh>
    <rPh sb="7" eb="9">
      <t>ショウカイ</t>
    </rPh>
    <rPh sb="10" eb="12">
      <t>カッポウ</t>
    </rPh>
    <rPh sb="13" eb="14">
      <t>ミ</t>
    </rPh>
    <phoneticPr fontId="3"/>
  </si>
  <si>
    <t>同上　料亭 北秋倶楽部</t>
    <rPh sb="0" eb="2">
      <t>ドウジョウ</t>
    </rPh>
    <rPh sb="3" eb="5">
      <t>リョウテイ</t>
    </rPh>
    <rPh sb="8" eb="11">
      <t>クラブ</t>
    </rPh>
    <phoneticPr fontId="3"/>
  </si>
  <si>
    <t>同上　しぇんろん</t>
    <rPh sb="0" eb="2">
      <t>ドウジョウ</t>
    </rPh>
    <phoneticPr fontId="3"/>
  </si>
  <si>
    <t>同上　居酒屋　八十八</t>
    <rPh sb="0" eb="2">
      <t>ドウジョウ</t>
    </rPh>
    <phoneticPr fontId="3"/>
  </si>
  <si>
    <t>同上　小料理 楓</t>
    <rPh sb="0" eb="2">
      <t>ドウジョウ</t>
    </rPh>
    <phoneticPr fontId="3"/>
  </si>
  <si>
    <t>編集後記</t>
    <rPh sb="0" eb="2">
      <t>ヘンシュウ</t>
    </rPh>
    <rPh sb="2" eb="4">
      <t>コウキ</t>
    </rPh>
    <phoneticPr fontId="3"/>
  </si>
  <si>
    <t>会費・寄付金・お悔やみ一覧</t>
    <rPh sb="0" eb="2">
      <t>カイヒ</t>
    </rPh>
    <rPh sb="3" eb="6">
      <t>キフキン</t>
    </rPh>
    <rPh sb="8" eb="9">
      <t>ク</t>
    </rPh>
    <rPh sb="11" eb="13">
      <t>イチラン</t>
    </rPh>
    <phoneticPr fontId="3"/>
  </si>
  <si>
    <t>目時</t>
    <rPh sb="0" eb="2">
      <t>メトキ</t>
    </rPh>
    <phoneticPr fontId="3"/>
  </si>
  <si>
    <t>24年度活動実績及び25年度活動計画</t>
    <rPh sb="2" eb="4">
      <t>ネンド</t>
    </rPh>
    <rPh sb="4" eb="6">
      <t>カツドウ</t>
    </rPh>
    <rPh sb="6" eb="8">
      <t>ジッセキ</t>
    </rPh>
    <rPh sb="8" eb="9">
      <t>オヨ</t>
    </rPh>
    <rPh sb="12" eb="14">
      <t>ネンド</t>
    </rPh>
    <rPh sb="14" eb="18">
      <t>カツドウケイカク</t>
    </rPh>
    <phoneticPr fontId="3"/>
  </si>
  <si>
    <t>資　料　名</t>
    <rPh sb="0" eb="1">
      <t>シ</t>
    </rPh>
    <rPh sb="2" eb="3">
      <t>リョウ</t>
    </rPh>
    <rPh sb="4" eb="5">
      <t>メイ</t>
    </rPh>
    <phoneticPr fontId="3"/>
  </si>
  <si>
    <t>作成</t>
    <rPh sb="0" eb="2">
      <t>サクセイ</t>
    </rPh>
    <phoneticPr fontId="3"/>
  </si>
  <si>
    <t>報告</t>
    <rPh sb="0" eb="2">
      <t>ホウコク</t>
    </rPh>
    <phoneticPr fontId="3"/>
  </si>
  <si>
    <t>24年度会計報告及び25年度会計予算</t>
    <rPh sb="2" eb="4">
      <t>ネンド</t>
    </rPh>
    <rPh sb="4" eb="6">
      <t>カイケイ</t>
    </rPh>
    <rPh sb="6" eb="8">
      <t>ホウコク</t>
    </rPh>
    <rPh sb="8" eb="9">
      <t>オヨ</t>
    </rPh>
    <rPh sb="12" eb="14">
      <t>ネンド</t>
    </rPh>
    <rPh sb="14" eb="18">
      <t>カイケイヨサン</t>
    </rPh>
    <phoneticPr fontId="3"/>
  </si>
  <si>
    <t>25年度総会ご意見伺い書（会費と事務所の扱いについて）</t>
    <rPh sb="13" eb="15">
      <t>カイヒ</t>
    </rPh>
    <rPh sb="16" eb="19">
      <t>ジムショ</t>
    </rPh>
    <rPh sb="20" eb="21">
      <t>アツカ</t>
    </rPh>
    <phoneticPr fontId="3"/>
  </si>
  <si>
    <t>扱い</t>
    <rPh sb="0" eb="1">
      <t>アツカ</t>
    </rPh>
    <phoneticPr fontId="3"/>
  </si>
  <si>
    <t>決議</t>
    <rPh sb="0" eb="2">
      <t>ケツギ</t>
    </rPh>
    <phoneticPr fontId="3"/>
  </si>
  <si>
    <t>成澤</t>
    <rPh sb="0" eb="2">
      <t>ナルサワ</t>
    </rPh>
    <phoneticPr fontId="3"/>
  </si>
  <si>
    <t>幹事</t>
    <rPh sb="0" eb="2">
      <t>カンジ</t>
    </rPh>
    <phoneticPr fontId="3"/>
  </si>
  <si>
    <t>分担協議用</t>
    <rPh sb="0" eb="2">
      <t>ブンタン</t>
    </rPh>
    <rPh sb="2" eb="4">
      <t>キョウギ</t>
    </rPh>
    <rPh sb="4" eb="5">
      <t>ヨウ</t>
    </rPh>
    <phoneticPr fontId="3"/>
  </si>
  <si>
    <t>25年度役員</t>
    <rPh sb="4" eb="6">
      <t>ヤクイン</t>
    </rPh>
    <phoneticPr fontId="3"/>
  </si>
  <si>
    <t>入替えがあった場合</t>
    <rPh sb="0" eb="2">
      <t>イレカ</t>
    </rPh>
    <rPh sb="7" eb="9">
      <t>バアイ</t>
    </rPh>
    <phoneticPr fontId="3"/>
  </si>
  <si>
    <t>２０２５年度総会議事次第　資料リスト</t>
    <rPh sb="4" eb="6">
      <t>ネンド</t>
    </rPh>
    <rPh sb="6" eb="8">
      <t>ソウカイ</t>
    </rPh>
    <rPh sb="8" eb="10">
      <t>ギジ</t>
    </rPh>
    <rPh sb="10" eb="12">
      <t>シダイ</t>
    </rPh>
    <rPh sb="13" eb="15">
      <t>シリョウ</t>
    </rPh>
    <phoneticPr fontId="3"/>
  </si>
  <si>
    <t>74/75/76期卒業生向けの事前案内ハガキ</t>
    <rPh sb="8" eb="9">
      <t>キ</t>
    </rPh>
    <rPh sb="9" eb="12">
      <t>ソツギョウセイ</t>
    </rPh>
    <rPh sb="12" eb="13">
      <t>ム</t>
    </rPh>
    <rPh sb="15" eb="17">
      <t>ジゼン</t>
    </rPh>
    <rPh sb="17" eb="19">
      <t>アンナイキソツギョウセイ</t>
    </rPh>
    <phoneticPr fontId="3"/>
  </si>
  <si>
    <t>7/7幹事会で了解されたら発送準備</t>
    <rPh sb="3" eb="6">
      <t>カンジカイ</t>
    </rPh>
    <rPh sb="7" eb="9">
      <t>リョウカイ</t>
    </rPh>
    <rPh sb="13" eb="15">
      <t>ハッソウ</t>
    </rPh>
    <rPh sb="15" eb="17">
      <t>ジュンビ</t>
    </rPh>
    <phoneticPr fontId="3"/>
  </si>
  <si>
    <t>お店紹介記事のみ？</t>
    <rPh sb="1" eb="2">
      <t>ミセ</t>
    </rPh>
    <rPh sb="2" eb="4">
      <t>ショウカイ</t>
    </rPh>
    <rPh sb="4" eb="6">
      <t>キジ</t>
    </rPh>
    <phoneticPr fontId="3"/>
  </si>
  <si>
    <t>会報送付先台帳</t>
    <rPh sb="0" eb="2">
      <t>カイホウ</t>
    </rPh>
    <rPh sb="2" eb="5">
      <t>ソウフサキ</t>
    </rPh>
    <rPh sb="5" eb="7">
      <t>ダイチョウキソツギョウセイ</t>
    </rPh>
    <phoneticPr fontId="3"/>
  </si>
  <si>
    <t>情報を順次反映。発送前に最終確認。</t>
    <rPh sb="0" eb="2">
      <t>ジョウホウ</t>
    </rPh>
    <rPh sb="3" eb="5">
      <t>ジュンジ</t>
    </rPh>
    <rPh sb="5" eb="7">
      <t>ハンエイ</t>
    </rPh>
    <rPh sb="8" eb="10">
      <t>ハッソウ</t>
    </rPh>
    <rPh sb="10" eb="11">
      <t>マエ</t>
    </rPh>
    <rPh sb="12" eb="14">
      <t>サイシュウ</t>
    </rPh>
    <rPh sb="14" eb="16">
      <t>カクニン</t>
    </rPh>
    <phoneticPr fontId="3"/>
  </si>
  <si>
    <t>三澤文人(36期)</t>
    <rPh sb="2" eb="4">
      <t>フミト</t>
    </rPh>
    <rPh sb="7" eb="8">
      <t>キ</t>
    </rPh>
    <phoneticPr fontId="3"/>
  </si>
  <si>
    <t>三澤威(40期)</t>
    <rPh sb="6" eb="7">
      <t>キ</t>
    </rPh>
    <phoneticPr fontId="3"/>
  </si>
  <si>
    <t>田中(30期)78年卒</t>
    <rPh sb="0" eb="2">
      <t>タナカ</t>
    </rPh>
    <rPh sb="5" eb="6">
      <t>キ</t>
    </rPh>
    <rPh sb="9" eb="10">
      <t>ネン</t>
    </rPh>
    <rPh sb="10" eb="11">
      <t>ソツ</t>
    </rPh>
    <phoneticPr fontId="3"/>
  </si>
  <si>
    <t>熊田登、大館市雪沢茂内屋布出身</t>
    <rPh sb="0" eb="2">
      <t>クマダ</t>
    </rPh>
    <rPh sb="2" eb="3">
      <t>ノボル</t>
    </rPh>
    <rPh sb="4" eb="6">
      <t>オオダテ</t>
    </rPh>
    <rPh sb="6" eb="7">
      <t>シ</t>
    </rPh>
    <rPh sb="7" eb="8">
      <t>ユキ</t>
    </rPh>
    <rPh sb="8" eb="9">
      <t>サワ</t>
    </rPh>
    <rPh sb="9" eb="10">
      <t>シゲル</t>
    </rPh>
    <rPh sb="10" eb="11">
      <t>ナイ</t>
    </rPh>
    <rPh sb="11" eb="12">
      <t>ヤ</t>
    </rPh>
    <rPh sb="12" eb="13">
      <t>ヌノ</t>
    </rPh>
    <rPh sb="13" eb="15">
      <t>シュッシンサワシゲルナイヤヌノシュッシン</t>
    </rPh>
    <phoneticPr fontId="3"/>
  </si>
  <si>
    <t>備忘</t>
    <rPh sb="0" eb="2">
      <t>ビボウ</t>
    </rPh>
    <phoneticPr fontId="3"/>
  </si>
  <si>
    <t>同上　１０CC</t>
    <rPh sb="0" eb="2">
      <t>ドウジョウ</t>
    </rPh>
    <phoneticPr fontId="3"/>
  </si>
  <si>
    <t>三澤威 オリジナル商品紹介</t>
    <rPh sb="0" eb="3">
      <t>ミサワタケシ</t>
    </rPh>
    <rPh sb="9" eb="13">
      <t>ショウヒンショウカイ</t>
    </rPh>
    <phoneticPr fontId="3"/>
  </si>
  <si>
    <t>※深井タカ子(秋田市出身)</t>
    <rPh sb="1" eb="3">
      <t>フカイ</t>
    </rPh>
    <rPh sb="5" eb="6">
      <t>コ</t>
    </rPh>
    <rPh sb="7" eb="10">
      <t>アキタシ</t>
    </rPh>
    <rPh sb="10" eb="12">
      <t>シュッシン</t>
    </rPh>
    <phoneticPr fontId="3"/>
  </si>
  <si>
    <t>２０２６年度 会報３７号　広告リスト</t>
    <rPh sb="4" eb="6">
      <t>ネンド</t>
    </rPh>
    <rPh sb="7" eb="9">
      <t>カイホウ</t>
    </rPh>
    <rPh sb="11" eb="12">
      <t>ゴウ</t>
    </rPh>
    <rPh sb="13" eb="14">
      <t>ヒロ</t>
    </rPh>
    <rPh sb="14" eb="15">
      <t>コク</t>
    </rPh>
    <phoneticPr fontId="3"/>
  </si>
  <si>
    <t>２０２６年度 会報３７号　原稿リスト</t>
    <rPh sb="4" eb="6">
      <t>ネンド</t>
    </rPh>
    <rPh sb="7" eb="9">
      <t>カイホウ</t>
    </rPh>
    <rPh sb="11" eb="12">
      <t>ゴウ</t>
    </rPh>
    <rPh sb="13" eb="15">
      <t>ゲンコウ</t>
    </rPh>
    <phoneticPr fontId="3"/>
  </si>
  <si>
    <t>2025年度総会振返り</t>
    <rPh sb="4" eb="6">
      <t>ネンド</t>
    </rPh>
    <rPh sb="5" eb="6">
      <t>ド</t>
    </rPh>
    <rPh sb="6" eb="8">
      <t>ソウカイ</t>
    </rPh>
    <phoneticPr fontId="3"/>
  </si>
  <si>
    <t>24期因幡</t>
    <rPh sb="2" eb="3">
      <t>キ</t>
    </rPh>
    <rPh sb="3" eb="5">
      <t>イナバ</t>
    </rPh>
    <phoneticPr fontId="3"/>
  </si>
  <si>
    <t>ゴルフ同好会会長就任</t>
    <rPh sb="3" eb="6">
      <t>ドウコウカイ</t>
    </rPh>
    <rPh sb="6" eb="8">
      <t>カイチョウ</t>
    </rPh>
    <rPh sb="8" eb="10">
      <t>シュウニン</t>
    </rPh>
    <phoneticPr fontId="3"/>
  </si>
  <si>
    <t>第69回ゴルフコンペ感想記事＆写真</t>
    <rPh sb="6" eb="8">
      <t>カンソウ</t>
    </rPh>
    <rPh sb="8" eb="10">
      <t>キジ</t>
    </rPh>
    <rPh sb="15" eb="17">
      <t>シャシン</t>
    </rPh>
    <phoneticPr fontId="3"/>
  </si>
  <si>
    <t>藤岡</t>
    <rPh sb="0" eb="2">
      <t>フジオカ</t>
    </rPh>
    <phoneticPr fontId="3"/>
  </si>
  <si>
    <t>松岡</t>
    <rPh sb="0" eb="2">
      <t>マツオカ</t>
    </rPh>
    <phoneticPr fontId="3"/>
  </si>
  <si>
    <t>小笠原歯科医院</t>
    <rPh sb="0" eb="7">
      <t>オガサワラシカイイン</t>
    </rPh>
    <phoneticPr fontId="3"/>
  </si>
  <si>
    <t>齋藤</t>
    <rPh sb="0" eb="2">
      <t>サイトウ</t>
    </rPh>
    <phoneticPr fontId="3"/>
  </si>
  <si>
    <t>望月氏（15期）</t>
    <rPh sb="0" eb="3">
      <t>モチヅキシ</t>
    </rPh>
    <rPh sb="6" eb="7">
      <t>キ</t>
    </rPh>
    <phoneticPr fontId="3"/>
  </si>
  <si>
    <t>大館ふるさと会</t>
    <rPh sb="0" eb="2">
      <t>オオダテ</t>
    </rPh>
    <rPh sb="6" eb="7">
      <t>カイ</t>
    </rPh>
    <phoneticPr fontId="3"/>
  </si>
  <si>
    <t>石川</t>
    <rPh sb="0" eb="2">
      <t>イシカワ</t>
    </rPh>
    <phoneticPr fontId="3"/>
  </si>
  <si>
    <t>来年度の寄稿文・広告募集</t>
    <rPh sb="0" eb="3">
      <t>ライネンド</t>
    </rPh>
    <rPh sb="4" eb="7">
      <t>キコウブン</t>
    </rPh>
    <rPh sb="8" eb="12">
      <t>コウコクボシュウ</t>
    </rPh>
    <phoneticPr fontId="3"/>
  </si>
  <si>
    <t>OK</t>
    <phoneticPr fontId="3"/>
  </si>
  <si>
    <t>２０２６年度総会議事次第　資料リスト</t>
    <rPh sb="4" eb="6">
      <t>ネンド</t>
    </rPh>
    <rPh sb="6" eb="8">
      <t>ソウカイ</t>
    </rPh>
    <rPh sb="8" eb="10">
      <t>ギジ</t>
    </rPh>
    <rPh sb="10" eb="12">
      <t>シダイ</t>
    </rPh>
    <rPh sb="13" eb="15">
      <t>シリョウ</t>
    </rPh>
    <phoneticPr fontId="3"/>
  </si>
  <si>
    <t>25年度活動実績及び26年度活動計画</t>
    <rPh sb="2" eb="4">
      <t>ネンド</t>
    </rPh>
    <rPh sb="4" eb="6">
      <t>カツドウ</t>
    </rPh>
    <rPh sb="6" eb="8">
      <t>ジッセキ</t>
    </rPh>
    <rPh sb="8" eb="9">
      <t>オヨ</t>
    </rPh>
    <rPh sb="12" eb="14">
      <t>ネンド</t>
    </rPh>
    <rPh sb="14" eb="18">
      <t>カツドウケイカク</t>
    </rPh>
    <phoneticPr fontId="3"/>
  </si>
  <si>
    <t>25年度会計報告及び26年度会計予算</t>
    <rPh sb="2" eb="4">
      <t>ネンド</t>
    </rPh>
    <rPh sb="4" eb="6">
      <t>カイケイ</t>
    </rPh>
    <rPh sb="6" eb="8">
      <t>ホウコク</t>
    </rPh>
    <rPh sb="8" eb="9">
      <t>オヨ</t>
    </rPh>
    <rPh sb="12" eb="14">
      <t>ネンド</t>
    </rPh>
    <rPh sb="14" eb="18">
      <t>カイケイヨサン</t>
    </rPh>
    <phoneticPr fontId="3"/>
  </si>
  <si>
    <t>26年度役員</t>
    <rPh sb="4" eb="6">
      <t>ヤクイン</t>
    </rPh>
    <phoneticPr fontId="3"/>
  </si>
  <si>
    <t>※会費と事務所の扱いについては議題に上げる？</t>
    <rPh sb="1" eb="3">
      <t>カイヒ</t>
    </rPh>
    <rPh sb="4" eb="7">
      <t>ジムショ</t>
    </rPh>
    <rPh sb="8" eb="9">
      <t>アツカ</t>
    </rPh>
    <rPh sb="15" eb="17">
      <t>ギダイ</t>
    </rPh>
    <rPh sb="18" eb="19">
      <t>ア</t>
    </rPh>
    <phoneticPr fontId="3"/>
  </si>
  <si>
    <t>久慈隆正新校長挨拶文</t>
    <rPh sb="0" eb="2">
      <t>クジ</t>
    </rPh>
    <rPh sb="2" eb="4">
      <t>タカマサ</t>
    </rPh>
    <rPh sb="4" eb="5">
      <t>シン</t>
    </rPh>
    <rPh sb="5" eb="7">
      <t>コウチョウ</t>
    </rPh>
    <rPh sb="7" eb="9">
      <t>アイサツ</t>
    </rPh>
    <rPh sb="9" eb="10">
      <t>ブン</t>
    </rPh>
    <phoneticPr fontId="3"/>
  </si>
  <si>
    <t>40期：久慈</t>
    <rPh sb="4" eb="6">
      <t>クジ</t>
    </rPh>
    <phoneticPr fontId="3"/>
  </si>
  <si>
    <t>14期：馬渕</t>
    <rPh sb="2" eb="3">
      <t>キ</t>
    </rPh>
    <rPh sb="4" eb="6">
      <t>マブチ</t>
    </rPh>
    <phoneticPr fontId="3"/>
  </si>
  <si>
    <t>77期：畠山伊織</t>
    <phoneticPr fontId="3"/>
  </si>
  <si>
    <t>寄稿文</t>
    <rPh sb="0" eb="3">
      <t>キコウブン</t>
    </rPh>
    <phoneticPr fontId="3"/>
  </si>
  <si>
    <t>　〃</t>
    <phoneticPr fontId="3"/>
  </si>
  <si>
    <t>46期：小笠原正卓</t>
    <rPh sb="2" eb="3">
      <t>キ</t>
    </rPh>
    <rPh sb="4" eb="7">
      <t>オガサワラ</t>
    </rPh>
    <rPh sb="7" eb="8">
      <t>タダシ</t>
    </rPh>
    <rPh sb="8" eb="9">
      <t>タク</t>
    </rPh>
    <phoneticPr fontId="3"/>
  </si>
  <si>
    <t>67期：羽澤悠平</t>
    <phoneticPr fontId="3"/>
  </si>
  <si>
    <t>○名参加</t>
    <phoneticPr fontId="3"/>
  </si>
  <si>
    <t>21期：高橋充（30期の先生）</t>
    <rPh sb="2" eb="3">
      <t>キ</t>
    </rPh>
    <rPh sb="4" eb="6">
      <t>タカハシ</t>
    </rPh>
    <rPh sb="6" eb="7">
      <t>ミツル</t>
    </rPh>
    <rPh sb="10" eb="11">
      <t>キ</t>
    </rPh>
    <rPh sb="12" eb="14">
      <t>センセイ</t>
    </rPh>
    <phoneticPr fontId="3"/>
  </si>
  <si>
    <t>4～5枚×400字程度；顔写真1～2枚＋図表1枚程度</t>
    <phoneticPr fontId="3"/>
  </si>
  <si>
    <t>200～300字程度；顔写真＋α</t>
    <phoneticPr fontId="3"/>
  </si>
  <si>
    <t>12期：伊藤征夫</t>
    <rPh sb="2" eb="3">
      <t>キ</t>
    </rPh>
    <rPh sb="4" eb="6">
      <t>イトウ</t>
    </rPh>
    <phoneticPr fontId="3"/>
  </si>
  <si>
    <t>OK</t>
    <phoneticPr fontId="3"/>
  </si>
  <si>
    <t>40期： 飯田克子</t>
    <phoneticPr fontId="3"/>
  </si>
  <si>
    <t>UP</t>
    <phoneticPr fontId="3"/>
  </si>
  <si>
    <t>藤岡</t>
    <rPh sb="0" eb="2">
      <t>フジオカ</t>
    </rPh>
    <phoneticPr fontId="3"/>
  </si>
  <si>
    <t>齋藤</t>
    <rPh sb="0" eb="2">
      <t>サイトウ</t>
    </rPh>
    <phoneticPr fontId="3"/>
  </si>
  <si>
    <t>石川</t>
    <rPh sb="0" eb="2">
      <t>イシカワ</t>
    </rPh>
    <phoneticPr fontId="3"/>
  </si>
  <si>
    <t>37期：杉田</t>
    <rPh sb="2" eb="3">
      <t>キ</t>
    </rPh>
    <rPh sb="4" eb="6">
      <t>スギタ</t>
    </rPh>
    <phoneticPr fontId="3"/>
  </si>
  <si>
    <t>9期：深井</t>
  </si>
  <si>
    <t>？</t>
    <phoneticPr fontId="3"/>
  </si>
  <si>
    <t>26期：佐藤文人あやと（神明社）</t>
    <rPh sb="2" eb="3">
      <t>キ</t>
    </rPh>
    <rPh sb="4" eb="6">
      <t>サトウ</t>
    </rPh>
    <rPh sb="6" eb="7">
      <t>ブン</t>
    </rPh>
    <rPh sb="7" eb="8">
      <t>ヒト</t>
    </rPh>
    <rPh sb="12" eb="15">
      <t>シンメイシャ</t>
    </rPh>
    <phoneticPr fontId="3"/>
  </si>
  <si>
    <t>鳳鳴野球部活動（報告文と写真）</t>
    <rPh sb="0" eb="5">
      <t>ホウメイヤキュウブ</t>
    </rPh>
    <rPh sb="5" eb="7">
      <t>カツドウ</t>
    </rPh>
    <rPh sb="8" eb="11">
      <t>ホウコクブン</t>
    </rPh>
    <rPh sb="12" eb="14">
      <t>シャシン</t>
    </rPh>
    <phoneticPr fontId="3"/>
  </si>
  <si>
    <t>36期：三澤文人</t>
    <rPh sb="2" eb="3">
      <t>キ</t>
    </rPh>
    <rPh sb="6" eb="8">
      <t>フミト</t>
    </rPh>
    <phoneticPr fontId="3"/>
  </si>
  <si>
    <t>47期：櫻庭広樹</t>
    <rPh sb="2" eb="3">
      <t>キ</t>
    </rPh>
    <rPh sb="4" eb="8">
      <t>サクラバヒロキ</t>
    </rPh>
    <phoneticPr fontId="3"/>
  </si>
  <si>
    <t>31期：伊藤由紀子</t>
    <rPh sb="2" eb="3">
      <t>キ</t>
    </rPh>
    <rPh sb="4" eb="6">
      <t>イトウ</t>
    </rPh>
    <rPh sb="6" eb="9">
      <t>ユキコ</t>
    </rPh>
    <phoneticPr fontId="3"/>
  </si>
  <si>
    <t>14期：村上芳明03-3590-0217</t>
    <rPh sb="2" eb="3">
      <t>キ</t>
    </rPh>
    <phoneticPr fontId="3"/>
  </si>
  <si>
    <t>40期：小板橋洋之</t>
    <rPh sb="2" eb="3">
      <t>キ</t>
    </rPh>
    <rPh sb="4" eb="7">
      <t>コイタバシ</t>
    </rPh>
    <rPh sb="7" eb="8">
      <t>ヨウ</t>
    </rPh>
    <rPh sb="8" eb="9">
      <t>ノ</t>
    </rPh>
    <phoneticPr fontId="3"/>
  </si>
  <si>
    <t>35期：奈良洋</t>
    <rPh sb="2" eb="3">
      <t>キ</t>
    </rPh>
    <rPh sb="4" eb="6">
      <t>ナラ</t>
    </rPh>
    <rPh sb="6" eb="7">
      <t>ヨウ</t>
    </rPh>
    <phoneticPr fontId="3"/>
  </si>
  <si>
    <t>21期：佐藤正行080-5683-9624</t>
    <rPh sb="2" eb="3">
      <t>キ</t>
    </rPh>
    <rPh sb="4" eb="6">
      <t>サトウ</t>
    </rPh>
    <rPh sb="6" eb="8">
      <t>マサユキ</t>
    </rPh>
    <phoneticPr fontId="3"/>
  </si>
  <si>
    <t>40期：三澤威</t>
    <rPh sb="2" eb="3">
      <t>キ</t>
    </rPh>
    <phoneticPr fontId="3"/>
  </si>
  <si>
    <t>30期：田中78年卒</t>
    <rPh sb="2" eb="3">
      <t>キ</t>
    </rPh>
    <rPh sb="4" eb="6">
      <t>タナカ</t>
    </rPh>
    <rPh sb="8" eb="9">
      <t>ネン</t>
    </rPh>
    <rPh sb="9" eb="10">
      <t>ソツ</t>
    </rPh>
    <phoneticPr fontId="3"/>
  </si>
  <si>
    <t>※今回はNOでお願いします。</t>
    <rPh sb="1" eb="3">
      <t>コンカイ</t>
    </rPh>
    <rPh sb="8" eb="9">
      <t>ネガ</t>
    </rPh>
    <phoneticPr fontId="3"/>
  </si>
  <si>
    <t>27年度会費納入のお願い</t>
    <rPh sb="2" eb="4">
      <t>ネンド</t>
    </rPh>
    <rPh sb="4" eb="6">
      <t>カイヒ</t>
    </rPh>
    <rPh sb="6" eb="8">
      <t>ノウニュウ</t>
    </rPh>
    <rPh sb="10" eb="11">
      <t>ネガ</t>
    </rPh>
    <phoneticPr fontId="3"/>
  </si>
  <si>
    <t>7/○幹事会で了解されたら発送準備</t>
    <rPh sb="3" eb="6">
      <t>カンジカイ</t>
    </rPh>
    <rPh sb="7" eb="9">
      <t>リョウカイ</t>
    </rPh>
    <rPh sb="13" eb="15">
      <t>ハッソウ</t>
    </rPh>
    <rPh sb="15" eb="17">
      <t>ジュンビ</t>
    </rPh>
    <phoneticPr fontId="3"/>
  </si>
  <si>
    <t>75/76/77期卒業生向けの事前案内ハガキ</t>
    <rPh sb="8" eb="9">
      <t>キ</t>
    </rPh>
    <rPh sb="9" eb="12">
      <t>ソツギョウセイ</t>
    </rPh>
    <rPh sb="12" eb="13">
      <t>ム</t>
    </rPh>
    <rPh sb="15" eb="17">
      <t>ジゼン</t>
    </rPh>
    <rPh sb="17" eb="19">
      <t>アンナイキソツギョウセイ</t>
    </rPh>
    <phoneticPr fontId="3"/>
  </si>
  <si>
    <t>1,650字</t>
    <rPh sb="5" eb="6">
      <t>ジ</t>
    </rPh>
    <phoneticPr fontId="3"/>
  </si>
  <si>
    <t>1,200字</t>
    <rPh sb="5" eb="6">
      <t>ジ</t>
    </rPh>
    <phoneticPr fontId="3"/>
  </si>
  <si>
    <t>46期：小笠原正卓まさたか（小笠原歯科）</t>
    <rPh sb="2" eb="3">
      <t>キ</t>
    </rPh>
    <rPh sb="4" eb="7">
      <t>オガサワラ</t>
    </rPh>
    <rPh sb="7" eb="8">
      <t>タダシ</t>
    </rPh>
    <rPh sb="8" eb="9">
      <t>タク</t>
    </rPh>
    <rPh sb="14" eb="19">
      <t>オガサワラシカ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</si>
</sst>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_);[Red]\(0.0\)"/>
    <numFmt numFmtId="178" formatCode="0.00_);[Red]\(0.00\)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Segoe UI Emoji"/>
      <family val="2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trike/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>
      <alignment vertical="center"/>
    </xf>
    <xf numFmtId="177" fontId="0" fillId="0" borderId="0" xfId="0" applyNumberFormat="1" applyAlignment="1">
      <alignment horizontal="center" vertical="center"/>
    </xf>
    <xf numFmtId="0" fontId="6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horizontal="center" vertical="center"/>
    </xf>
    <xf numFmtId="38" fontId="6" fillId="2" borderId="2" xfId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1" xfId="0" applyFont="1" applyBorder="1">
      <alignment vertical="center"/>
    </xf>
    <xf numFmtId="0" fontId="7" fillId="0" borderId="24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10" fillId="0" borderId="11" xfId="0" applyFont="1" applyBorder="1">
      <alignment vertical="center"/>
    </xf>
    <xf numFmtId="0" fontId="11" fillId="0" borderId="0" xfId="0" applyFont="1">
      <alignment vertical="center"/>
    </xf>
    <xf numFmtId="0" fontId="8" fillId="0" borderId="10" xfId="0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4" xfId="0" applyFont="1" applyBorder="1" applyAlignment="1">
      <alignment horizontal="left" vertical="center" indent="1"/>
    </xf>
    <xf numFmtId="177" fontId="7" fillId="0" borderId="1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3" xfId="0" applyFont="1" applyBorder="1">
      <alignment vertical="center"/>
    </xf>
    <xf numFmtId="0" fontId="7" fillId="0" borderId="23" xfId="0" applyFont="1" applyBorder="1" applyAlignment="1">
      <alignment horizontal="right" vertical="center"/>
    </xf>
    <xf numFmtId="178" fontId="7" fillId="0" borderId="23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38" fontId="7" fillId="0" borderId="1" xfId="1" applyFont="1" applyBorder="1" applyAlignment="1">
      <alignment horizontal="center" vertical="center"/>
    </xf>
    <xf numFmtId="38" fontId="7" fillId="0" borderId="4" xfId="1" applyFont="1" applyBorder="1" applyAlignment="1">
      <alignment horizontal="center" vertical="center"/>
    </xf>
    <xf numFmtId="38" fontId="7" fillId="0" borderId="23" xfId="1" applyFont="1" applyBorder="1" applyAlignment="1">
      <alignment horizontal="center" vertical="center"/>
    </xf>
    <xf numFmtId="38" fontId="7" fillId="0" borderId="0" xfId="1" applyFont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>
      <alignment vertical="center"/>
    </xf>
    <xf numFmtId="0" fontId="8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>
      <alignment vertical="center"/>
    </xf>
    <xf numFmtId="177" fontId="7" fillId="3" borderId="4" xfId="0" applyNumberFormat="1" applyFont="1" applyFill="1" applyBorder="1" applyAlignment="1">
      <alignment horizontal="center" vertical="center"/>
    </xf>
    <xf numFmtId="38" fontId="7" fillId="3" borderId="4" xfId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5" xfId="0" applyFont="1" applyFill="1" applyBorder="1">
      <alignment vertical="center"/>
    </xf>
    <xf numFmtId="0" fontId="8" fillId="4" borderId="4" xfId="0" applyFont="1" applyFill="1" applyBorder="1" applyAlignment="1">
      <alignment horizontal="center" vertical="center"/>
    </xf>
    <xf numFmtId="0" fontId="4" fillId="4" borderId="7" xfId="0" applyFont="1" applyFill="1" applyBorder="1">
      <alignment vertical="center"/>
    </xf>
    <xf numFmtId="0" fontId="6" fillId="0" borderId="15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0" xfId="0" applyFont="1">
      <alignment vertical="center"/>
    </xf>
    <xf numFmtId="0" fontId="7" fillId="0" borderId="15" xfId="0" applyFont="1" applyBorder="1">
      <alignment vertical="center"/>
    </xf>
    <xf numFmtId="0" fontId="7" fillId="4" borderId="31" xfId="0" applyFont="1" applyFill="1" applyBorder="1" applyAlignment="1">
      <alignment horizontal="center" vertical="center"/>
    </xf>
    <xf numFmtId="0" fontId="11" fillId="4" borderId="31" xfId="0" applyFont="1" applyFill="1" applyBorder="1">
      <alignment vertical="center"/>
    </xf>
    <xf numFmtId="0" fontId="7" fillId="4" borderId="31" xfId="0" applyFont="1" applyFill="1" applyBorder="1">
      <alignment vertical="center"/>
    </xf>
    <xf numFmtId="0" fontId="6" fillId="4" borderId="1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indent="6"/>
    </xf>
    <xf numFmtId="0" fontId="7" fillId="0" borderId="32" xfId="0" applyFont="1" applyBorder="1">
      <alignment vertical="center"/>
    </xf>
    <xf numFmtId="0" fontId="7" fillId="0" borderId="32" xfId="0" applyFont="1" applyBorder="1" applyAlignment="1">
      <alignment horizontal="center" vertical="center"/>
    </xf>
    <xf numFmtId="0" fontId="4" fillId="0" borderId="34" xfId="0" applyFont="1" applyBorder="1">
      <alignment vertical="center"/>
    </xf>
    <xf numFmtId="0" fontId="7" fillId="0" borderId="11" xfId="0" applyFont="1" applyBorder="1">
      <alignment vertical="center"/>
    </xf>
    <xf numFmtId="0" fontId="7" fillId="4" borderId="4" xfId="0" applyFont="1" applyFill="1" applyBorder="1">
      <alignment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1" xfId="0" applyFont="1" applyFill="1" applyBorder="1">
      <alignment vertical="center"/>
    </xf>
    <xf numFmtId="0" fontId="11" fillId="4" borderId="4" xfId="0" applyFont="1" applyFill="1" applyBorder="1">
      <alignment vertical="center"/>
    </xf>
    <xf numFmtId="0" fontId="4" fillId="4" borderId="11" xfId="0" applyFont="1" applyFill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11" fillId="3" borderId="4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0" borderId="29" xfId="0" applyFont="1" applyBorder="1">
      <alignment vertical="center"/>
    </xf>
    <xf numFmtId="177" fontId="7" fillId="0" borderId="29" xfId="0" applyNumberFormat="1" applyFont="1" applyBorder="1" applyAlignment="1">
      <alignment horizontal="center" vertical="center"/>
    </xf>
    <xf numFmtId="38" fontId="7" fillId="0" borderId="29" xfId="1" applyFont="1" applyBorder="1" applyAlignment="1">
      <alignment horizontal="center" vertical="center"/>
    </xf>
    <xf numFmtId="0" fontId="4" fillId="0" borderId="29" xfId="0" applyFont="1" applyBorder="1">
      <alignment vertical="center"/>
    </xf>
    <xf numFmtId="0" fontId="7" fillId="4" borderId="1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4" xfId="0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38" fontId="12" fillId="0" borderId="4" xfId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31" xfId="0" applyFont="1" applyBorder="1">
      <alignment vertical="center"/>
    </xf>
    <xf numFmtId="0" fontId="7" fillId="0" borderId="31" xfId="0" applyFont="1" applyBorder="1" applyAlignment="1">
      <alignment horizontal="center" vertical="center"/>
    </xf>
    <xf numFmtId="0" fontId="7" fillId="0" borderId="31" xfId="0" applyFont="1" applyBorder="1">
      <alignment vertical="center"/>
    </xf>
    <xf numFmtId="38" fontId="7" fillId="0" borderId="29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38" fontId="7" fillId="0" borderId="0" xfId="1" applyFont="1" applyFill="1" applyAlignment="1">
      <alignment horizontal="center" vertical="center"/>
    </xf>
    <xf numFmtId="38" fontId="7" fillId="0" borderId="4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38" fontId="6" fillId="0" borderId="2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4" borderId="32" xfId="0" applyFont="1" applyFill="1" applyBorder="1">
      <alignment vertical="center"/>
    </xf>
    <xf numFmtId="0" fontId="0" fillId="4" borderId="32" xfId="0" applyFill="1" applyBorder="1">
      <alignment vertical="center"/>
    </xf>
    <xf numFmtId="0" fontId="0" fillId="4" borderId="34" xfId="0" applyFill="1" applyBorder="1">
      <alignment vertical="center"/>
    </xf>
    <xf numFmtId="0" fontId="6" fillId="4" borderId="35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11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1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7" fillId="4" borderId="4" xfId="0" applyFont="1" applyFill="1" applyBorder="1">
      <alignment vertical="center"/>
    </xf>
    <xf numFmtId="0" fontId="7" fillId="4" borderId="32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0" fillId="4" borderId="9" xfId="0" applyFill="1" applyBorder="1">
      <alignment vertical="center"/>
    </xf>
    <xf numFmtId="0" fontId="4" fillId="4" borderId="4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37" xfId="0" applyFill="1" applyBorder="1">
      <alignment vertical="center"/>
    </xf>
    <xf numFmtId="0" fontId="0" fillId="4" borderId="38" xfId="0" applyFill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9" xfId="0" applyBorder="1">
      <alignment vertical="center"/>
    </xf>
    <xf numFmtId="0" fontId="11" fillId="0" borderId="4" xfId="0" applyFont="1" applyBorder="1">
      <alignment vertical="center"/>
    </xf>
    <xf numFmtId="0" fontId="0" fillId="0" borderId="4" xfId="0" applyBorder="1">
      <alignment vertical="center"/>
    </xf>
    <xf numFmtId="0" fontId="4" fillId="0" borderId="4" xfId="0" applyFont="1" applyBorder="1">
      <alignment vertical="center"/>
    </xf>
    <xf numFmtId="0" fontId="0" fillId="0" borderId="11" xfId="0" applyBorder="1">
      <alignment vertical="center"/>
    </xf>
    <xf numFmtId="0" fontId="6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7" fillId="0" borderId="32" xfId="0" applyFont="1" applyBorder="1">
      <alignment vertical="center"/>
    </xf>
    <xf numFmtId="0" fontId="0" fillId="0" borderId="32" xfId="0" applyBorder="1">
      <alignment vertical="center"/>
    </xf>
    <xf numFmtId="0" fontId="4" fillId="0" borderId="32" xfId="0" applyFont="1" applyBorder="1">
      <alignment vertical="center"/>
    </xf>
    <xf numFmtId="0" fontId="0" fillId="0" borderId="34" xfId="0" applyBorder="1">
      <alignment vertical="center"/>
    </xf>
    <xf numFmtId="0" fontId="7" fillId="0" borderId="4" xfId="0" applyFont="1" applyBorder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11</xdr:row>
      <xdr:rowOff>28574</xdr:rowOff>
    </xdr:from>
    <xdr:to>
      <xdr:col>7</xdr:col>
      <xdr:colOff>223050</xdr:colOff>
      <xdr:row>19</xdr:row>
      <xdr:rowOff>103574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5398542-7DE0-4571-AB23-513368831998}"/>
            </a:ext>
          </a:extLst>
        </xdr:cNvPr>
        <xdr:cNvSpPr/>
      </xdr:nvSpPr>
      <xdr:spPr>
        <a:xfrm>
          <a:off x="8324850" y="8381999"/>
          <a:ext cx="1728000" cy="1980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 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５千円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縦５５</a:t>
          </a:r>
          <a:r>
            <a:rPr kumimoji="1" lang="en-US" altLang="ja-JP" sz="1100">
              <a:solidFill>
                <a:sysClr val="windowText" lastClr="000000"/>
              </a:solidFill>
            </a:rPr>
            <a:t>mm×</a:t>
          </a:r>
          <a:r>
            <a:rPr kumimoji="1" lang="ja-JP" altLang="en-US" sz="1100">
              <a:solidFill>
                <a:sysClr val="windowText" lastClr="000000"/>
              </a:solidFill>
            </a:rPr>
            <a:t>横４８</a:t>
          </a:r>
          <a:r>
            <a:rPr kumimoji="1" lang="en-US" altLang="ja-JP" sz="1100">
              <a:solidFill>
                <a:sysClr val="windowText" lastClr="000000"/>
              </a:solidFill>
            </a:rPr>
            <a:t>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9523</xdr:colOff>
      <xdr:row>2</xdr:row>
      <xdr:rowOff>66675</xdr:rowOff>
    </xdr:from>
    <xdr:to>
      <xdr:col>2</xdr:col>
      <xdr:colOff>1625098</xdr:colOff>
      <xdr:row>10</xdr:row>
      <xdr:rowOff>141675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20461A0-4190-4BFB-8069-2AB58E4ACA3C}"/>
            </a:ext>
          </a:extLst>
        </xdr:cNvPr>
        <xdr:cNvSpPr/>
      </xdr:nvSpPr>
      <xdr:spPr>
        <a:xfrm>
          <a:off x="514348" y="6276975"/>
          <a:ext cx="3492000" cy="1980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 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１万円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縦５５</a:t>
          </a:r>
          <a:r>
            <a:rPr kumimoji="1" lang="en-US" altLang="ja-JP" sz="1100">
              <a:solidFill>
                <a:sysClr val="windowText" lastClr="000000"/>
              </a:solidFill>
            </a:rPr>
            <a:t>mm×</a:t>
          </a:r>
          <a:r>
            <a:rPr kumimoji="1" lang="ja-JP" altLang="en-US" sz="1100">
              <a:solidFill>
                <a:sysClr val="windowText" lastClr="000000"/>
              </a:solidFill>
            </a:rPr>
            <a:t>横９７</a:t>
          </a:r>
          <a:r>
            <a:rPr kumimoji="1" lang="en-US" altLang="ja-JP" sz="1100">
              <a:solidFill>
                <a:sysClr val="windowText" lastClr="000000"/>
              </a:solidFill>
            </a:rPr>
            <a:t>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1819273</xdr:colOff>
      <xdr:row>2</xdr:row>
      <xdr:rowOff>76200</xdr:rowOff>
    </xdr:from>
    <xdr:to>
      <xdr:col>7</xdr:col>
      <xdr:colOff>247948</xdr:colOff>
      <xdr:row>10</xdr:row>
      <xdr:rowOff>151200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F1C552C-1FA9-463E-B968-8E81D1E7A055}"/>
            </a:ext>
          </a:extLst>
        </xdr:cNvPr>
        <xdr:cNvSpPr/>
      </xdr:nvSpPr>
      <xdr:spPr>
        <a:xfrm>
          <a:off x="4200523" y="6286500"/>
          <a:ext cx="5877225" cy="1980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 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１．５万円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縦５５</a:t>
          </a:r>
          <a:r>
            <a:rPr kumimoji="1" lang="en-US" altLang="ja-JP" sz="1100">
              <a:solidFill>
                <a:sysClr val="windowText" lastClr="000000"/>
              </a:solidFill>
            </a:rPr>
            <a:t>mm×</a:t>
          </a:r>
          <a:r>
            <a:rPr kumimoji="1" lang="ja-JP" altLang="en-US" sz="1100">
              <a:solidFill>
                <a:sysClr val="windowText" lastClr="000000"/>
              </a:solidFill>
            </a:rPr>
            <a:t>横１４５</a:t>
          </a:r>
          <a:r>
            <a:rPr kumimoji="1" lang="en-US" altLang="ja-JP" sz="1100">
              <a:solidFill>
                <a:sysClr val="windowText" lastClr="000000"/>
              </a:solidFill>
            </a:rPr>
            <a:t>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28575</xdr:colOff>
      <xdr:row>11</xdr:row>
      <xdr:rowOff>28575</xdr:rowOff>
    </xdr:from>
    <xdr:to>
      <xdr:col>4</xdr:col>
      <xdr:colOff>773700</xdr:colOff>
      <xdr:row>19</xdr:row>
      <xdr:rowOff>103575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6D0242A-4339-49F8-B21B-28E2744F1317}"/>
            </a:ext>
          </a:extLst>
        </xdr:cNvPr>
        <xdr:cNvSpPr/>
      </xdr:nvSpPr>
      <xdr:spPr>
        <a:xfrm>
          <a:off x="533400" y="8382000"/>
          <a:ext cx="7641225" cy="1980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 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２万円（</a:t>
          </a:r>
          <a:r>
            <a:rPr kumimoji="1" lang="en-US" altLang="ja-JP" sz="1100">
              <a:solidFill>
                <a:sysClr val="windowText" lastClr="000000"/>
              </a:solidFill>
            </a:rPr>
            <a:t>A</a:t>
          </a:r>
          <a:r>
            <a:rPr kumimoji="1" lang="ja-JP" altLang="en-US" sz="1100">
              <a:solidFill>
                <a:sysClr val="windowText" lastClr="000000"/>
              </a:solidFill>
            </a:rPr>
            <a:t>４１段）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縦５５</a:t>
          </a:r>
          <a:r>
            <a:rPr kumimoji="1" lang="en-US" altLang="ja-JP" sz="1100">
              <a:solidFill>
                <a:sysClr val="windowText" lastClr="000000"/>
              </a:solidFill>
            </a:rPr>
            <a:t>mm×</a:t>
          </a:r>
          <a:r>
            <a:rPr kumimoji="1" lang="ja-JP" altLang="en-US" sz="1100">
              <a:solidFill>
                <a:sysClr val="windowText" lastClr="000000"/>
              </a:solidFill>
            </a:rPr>
            <a:t>横１９４</a:t>
          </a:r>
          <a:r>
            <a:rPr kumimoji="1" lang="en-US" altLang="ja-JP" sz="1100">
              <a:solidFill>
                <a:sysClr val="windowText" lastClr="000000"/>
              </a:solidFill>
            </a:rPr>
            <a:t>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447675</xdr:colOff>
      <xdr:row>24</xdr:row>
      <xdr:rowOff>38100</xdr:rowOff>
    </xdr:from>
    <xdr:to>
      <xdr:col>7</xdr:col>
      <xdr:colOff>406182</xdr:colOff>
      <xdr:row>43</xdr:row>
      <xdr:rowOff>124468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A58BF1D-AE72-4803-A2BB-9CC9081E6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5753100"/>
          <a:ext cx="9788307" cy="4610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ECAD-F167-4300-B139-26A24EF5E689}">
  <dimension ref="A1:U36"/>
  <sheetViews>
    <sheetView zoomScale="80" zoomScaleNormal="80" workbookViewId="0">
      <selection activeCell="B31" sqref="B31:C31"/>
    </sheetView>
  </sheetViews>
  <sheetFormatPr defaultColWidth="9" defaultRowHeight="18" x14ac:dyDescent="0.55000000000000004"/>
  <cols>
    <col min="1" max="1" width="6.58203125" style="19" customWidth="1"/>
    <col min="2" max="2" width="28.08203125" style="16" bestFit="1" customWidth="1"/>
    <col min="3" max="3" width="34.25" style="16" customWidth="1"/>
    <col min="4" max="4" width="6.83203125" style="19" customWidth="1"/>
    <col min="5" max="5" width="7.25" style="44" bestFit="1" customWidth="1"/>
    <col min="6" max="6" width="7.33203125" style="49" bestFit="1" customWidth="1"/>
    <col min="7" max="7" width="9.25" style="19" bestFit="1" customWidth="1"/>
    <col min="8" max="8" width="7.08203125" style="19" customWidth="1"/>
    <col min="9" max="9" width="22.08203125" style="16" bestFit="1" customWidth="1"/>
    <col min="10" max="10" width="4.83203125" style="16" customWidth="1"/>
    <col min="11" max="11" width="6.58203125" style="19" customWidth="1"/>
    <col min="12" max="12" width="30" style="16" customWidth="1"/>
    <col min="13" max="13" width="26.58203125" style="16" customWidth="1"/>
    <col min="14" max="14" width="9" style="19"/>
    <col min="15" max="15" width="10.5" style="19" bestFit="1" customWidth="1"/>
    <col min="16" max="16" width="9.33203125" style="19" bestFit="1" customWidth="1"/>
    <col min="17" max="17" width="5.83203125" style="19" bestFit="1" customWidth="1"/>
    <col min="18" max="18" width="33.83203125" style="16" bestFit="1" customWidth="1"/>
    <col min="19" max="16384" width="9" style="16"/>
  </cols>
  <sheetData>
    <row r="1" spans="1:21" x14ac:dyDescent="0.55000000000000004">
      <c r="A1" s="141" t="s">
        <v>20</v>
      </c>
      <c r="B1" s="139" t="s">
        <v>66</v>
      </c>
      <c r="C1" s="140"/>
      <c r="D1" s="140"/>
      <c r="E1" s="140"/>
      <c r="F1" s="140"/>
      <c r="G1" s="140"/>
      <c r="H1" s="140"/>
      <c r="I1" s="140"/>
      <c r="J1" s="66"/>
      <c r="K1" s="145" t="s">
        <v>20</v>
      </c>
      <c r="L1" s="143" t="s">
        <v>67</v>
      </c>
      <c r="M1" s="143"/>
      <c r="N1" s="143"/>
      <c r="O1" s="143"/>
      <c r="P1" s="143"/>
      <c r="Q1" s="143"/>
      <c r="R1" s="144"/>
    </row>
    <row r="2" spans="1:21" s="19" customFormat="1" ht="18.5" thickBot="1" x14ac:dyDescent="0.6">
      <c r="A2" s="142"/>
      <c r="B2" s="6" t="s">
        <v>0</v>
      </c>
      <c r="C2" s="6" t="s">
        <v>29</v>
      </c>
      <c r="D2" s="6" t="s">
        <v>1</v>
      </c>
      <c r="E2" s="7" t="s">
        <v>3</v>
      </c>
      <c r="F2" s="8" t="s">
        <v>2</v>
      </c>
      <c r="G2" s="6" t="s">
        <v>19</v>
      </c>
      <c r="H2" s="6" t="s">
        <v>25</v>
      </c>
      <c r="I2" s="9" t="s">
        <v>4</v>
      </c>
      <c r="J2" s="66"/>
      <c r="K2" s="146"/>
      <c r="L2" s="10" t="s">
        <v>51</v>
      </c>
      <c r="M2" s="10" t="s">
        <v>29</v>
      </c>
      <c r="N2" s="10" t="s">
        <v>1</v>
      </c>
      <c r="O2" s="10" t="s">
        <v>3</v>
      </c>
      <c r="P2" s="10" t="s">
        <v>46</v>
      </c>
      <c r="Q2" s="17" t="s">
        <v>25</v>
      </c>
      <c r="R2" s="18" t="s">
        <v>4</v>
      </c>
    </row>
    <row r="3" spans="1:21" ht="18.5" thickTop="1" x14ac:dyDescent="0.55000000000000004">
      <c r="A3" s="20">
        <v>1</v>
      </c>
      <c r="B3" s="21" t="s">
        <v>42</v>
      </c>
      <c r="C3" s="21" t="s">
        <v>144</v>
      </c>
      <c r="D3" s="22" t="s">
        <v>9</v>
      </c>
      <c r="E3" s="23">
        <v>1</v>
      </c>
      <c r="F3" s="46">
        <v>20000</v>
      </c>
      <c r="G3" s="22" t="s">
        <v>5</v>
      </c>
      <c r="H3" s="62" t="s">
        <v>106</v>
      </c>
      <c r="I3" s="63" t="s">
        <v>111</v>
      </c>
      <c r="J3" s="67"/>
      <c r="K3" s="51">
        <v>1</v>
      </c>
      <c r="L3" s="52" t="s">
        <v>77</v>
      </c>
      <c r="M3" s="53"/>
      <c r="N3" s="53" t="s">
        <v>10</v>
      </c>
      <c r="O3" s="53"/>
      <c r="P3" s="53" t="s">
        <v>5</v>
      </c>
      <c r="Q3" s="53" t="s">
        <v>15</v>
      </c>
      <c r="R3" s="54" t="s">
        <v>84</v>
      </c>
    </row>
    <row r="4" spans="1:21" x14ac:dyDescent="0.55000000000000004">
      <c r="A4" s="25">
        <v>2</v>
      </c>
      <c r="B4" s="26" t="s">
        <v>43</v>
      </c>
      <c r="C4" s="26"/>
      <c r="D4" s="27" t="s">
        <v>11</v>
      </c>
      <c r="E4" s="28">
        <v>0.5</v>
      </c>
      <c r="F4" s="47">
        <v>10000</v>
      </c>
      <c r="G4" s="27" t="s">
        <v>5</v>
      </c>
      <c r="H4" s="27" t="s">
        <v>8</v>
      </c>
      <c r="I4" s="12" t="s">
        <v>39</v>
      </c>
      <c r="J4" s="67"/>
      <c r="K4" s="50">
        <v>2</v>
      </c>
      <c r="L4" s="24" t="s">
        <v>96</v>
      </c>
      <c r="M4" s="24" t="s">
        <v>98</v>
      </c>
      <c r="N4" s="15" t="s">
        <v>92</v>
      </c>
      <c r="O4" s="15"/>
      <c r="P4" s="15" t="s">
        <v>97</v>
      </c>
      <c r="Q4" s="15" t="s">
        <v>99</v>
      </c>
      <c r="R4" s="45" t="s">
        <v>104</v>
      </c>
      <c r="S4" s="32"/>
    </row>
    <row r="5" spans="1:21" x14ac:dyDescent="0.55000000000000004">
      <c r="A5" s="20">
        <v>3</v>
      </c>
      <c r="B5" s="26" t="s">
        <v>6</v>
      </c>
      <c r="C5" s="26"/>
      <c r="D5" s="27" t="s">
        <v>10</v>
      </c>
      <c r="E5" s="28">
        <v>0.5</v>
      </c>
      <c r="F5" s="47">
        <v>10000</v>
      </c>
      <c r="G5" s="27" t="s">
        <v>5</v>
      </c>
      <c r="H5" s="62" t="s">
        <v>106</v>
      </c>
      <c r="I5" s="63" t="s">
        <v>111</v>
      </c>
      <c r="J5" s="67"/>
      <c r="K5" s="33">
        <v>3</v>
      </c>
      <c r="L5" s="29" t="s">
        <v>59</v>
      </c>
      <c r="M5" s="29"/>
      <c r="N5" s="30" t="s">
        <v>10</v>
      </c>
      <c r="O5" s="30"/>
      <c r="P5" s="30" t="s">
        <v>5</v>
      </c>
      <c r="Q5" s="30" t="s">
        <v>15</v>
      </c>
      <c r="R5" s="31" t="s">
        <v>58</v>
      </c>
      <c r="S5" s="32"/>
      <c r="U5" s="19"/>
    </row>
    <row r="6" spans="1:21" x14ac:dyDescent="0.55000000000000004">
      <c r="A6" s="25">
        <v>4</v>
      </c>
      <c r="B6" s="26" t="s">
        <v>12</v>
      </c>
      <c r="C6" s="26" t="s">
        <v>23</v>
      </c>
      <c r="D6" s="27" t="s">
        <v>14</v>
      </c>
      <c r="E6" s="28">
        <v>0.5</v>
      </c>
      <c r="F6" s="47">
        <v>10000</v>
      </c>
      <c r="G6" s="27" t="s">
        <v>5</v>
      </c>
      <c r="H6" s="27" t="s">
        <v>15</v>
      </c>
      <c r="I6" s="12" t="s">
        <v>39</v>
      </c>
      <c r="J6" s="67"/>
      <c r="K6" s="33">
        <v>4</v>
      </c>
      <c r="L6" s="36" t="s">
        <v>100</v>
      </c>
      <c r="M6" s="26" t="s">
        <v>65</v>
      </c>
      <c r="N6" s="27" t="s">
        <v>10</v>
      </c>
      <c r="O6" s="27"/>
      <c r="P6" s="30" t="s">
        <v>5</v>
      </c>
      <c r="Q6" s="30" t="s">
        <v>15</v>
      </c>
      <c r="R6" s="31" t="s">
        <v>58</v>
      </c>
      <c r="S6" s="32"/>
    </row>
    <row r="7" spans="1:21" x14ac:dyDescent="0.55000000000000004">
      <c r="A7" s="20">
        <v>5</v>
      </c>
      <c r="B7" s="26" t="s">
        <v>13</v>
      </c>
      <c r="C7" s="26" t="s">
        <v>24</v>
      </c>
      <c r="D7" s="27" t="s">
        <v>16</v>
      </c>
      <c r="E7" s="28">
        <v>0.5</v>
      </c>
      <c r="F7" s="47">
        <v>10000</v>
      </c>
      <c r="G7" s="27" t="s">
        <v>5</v>
      </c>
      <c r="H7" s="30" t="s">
        <v>86</v>
      </c>
      <c r="I7" s="12" t="s">
        <v>45</v>
      </c>
      <c r="J7" s="67"/>
      <c r="K7" s="33">
        <v>5</v>
      </c>
      <c r="L7" s="36" t="s">
        <v>68</v>
      </c>
      <c r="M7" s="26" t="s">
        <v>79</v>
      </c>
      <c r="N7" s="27" t="s">
        <v>10</v>
      </c>
      <c r="O7" s="27" t="s">
        <v>52</v>
      </c>
      <c r="P7" s="27" t="s">
        <v>5</v>
      </c>
      <c r="Q7" s="27" t="s">
        <v>8</v>
      </c>
      <c r="R7" s="13"/>
      <c r="S7" s="32"/>
    </row>
    <row r="8" spans="1:21" x14ac:dyDescent="0.55000000000000004">
      <c r="A8" s="25">
        <v>6</v>
      </c>
      <c r="B8" s="26" t="s">
        <v>22</v>
      </c>
      <c r="C8" s="26" t="s">
        <v>28</v>
      </c>
      <c r="D8" s="27" t="s">
        <v>17</v>
      </c>
      <c r="E8" s="28">
        <v>0.5</v>
      </c>
      <c r="F8" s="47">
        <v>10000</v>
      </c>
      <c r="G8" s="27" t="s">
        <v>5</v>
      </c>
      <c r="H8" s="30" t="s">
        <v>8</v>
      </c>
      <c r="I8" s="12" t="s">
        <v>39</v>
      </c>
      <c r="J8" s="67"/>
      <c r="K8" s="33">
        <v>6</v>
      </c>
      <c r="L8" s="36" t="s">
        <v>69</v>
      </c>
      <c r="M8" s="36" t="s">
        <v>89</v>
      </c>
      <c r="N8" s="27" t="s">
        <v>10</v>
      </c>
      <c r="O8" s="27"/>
      <c r="P8" s="27" t="s">
        <v>5</v>
      </c>
      <c r="Q8" s="27" t="s">
        <v>15</v>
      </c>
      <c r="R8" s="13"/>
    </row>
    <row r="9" spans="1:21" x14ac:dyDescent="0.55000000000000004">
      <c r="A9" s="20">
        <v>7</v>
      </c>
      <c r="B9" s="26" t="s">
        <v>37</v>
      </c>
      <c r="C9" s="26"/>
      <c r="D9" s="27" t="s">
        <v>17</v>
      </c>
      <c r="E9" s="34">
        <v>1</v>
      </c>
      <c r="F9" s="47">
        <v>20000</v>
      </c>
      <c r="G9" s="27" t="s">
        <v>5</v>
      </c>
      <c r="H9" s="30" t="s">
        <v>86</v>
      </c>
      <c r="I9" s="12" t="s">
        <v>39</v>
      </c>
      <c r="J9" s="67"/>
      <c r="K9" s="33">
        <v>7</v>
      </c>
      <c r="L9" s="36" t="s">
        <v>69</v>
      </c>
      <c r="M9" s="36" t="s">
        <v>53</v>
      </c>
      <c r="N9" s="27" t="s">
        <v>10</v>
      </c>
      <c r="O9" s="27"/>
      <c r="P9" s="27" t="s">
        <v>5</v>
      </c>
      <c r="Q9" s="27" t="s">
        <v>15</v>
      </c>
      <c r="R9" s="13"/>
    </row>
    <row r="10" spans="1:21" x14ac:dyDescent="0.55000000000000004">
      <c r="A10" s="25">
        <v>8</v>
      </c>
      <c r="B10" s="26" t="s">
        <v>18</v>
      </c>
      <c r="C10" s="26" t="s">
        <v>35</v>
      </c>
      <c r="D10" s="27" t="s">
        <v>17</v>
      </c>
      <c r="E10" s="34">
        <v>1</v>
      </c>
      <c r="F10" s="47">
        <v>20000</v>
      </c>
      <c r="G10" s="27" t="s">
        <v>5</v>
      </c>
      <c r="H10" s="30" t="s">
        <v>7</v>
      </c>
      <c r="I10" s="12" t="s">
        <v>44</v>
      </c>
      <c r="J10" s="67"/>
      <c r="K10" s="33">
        <v>8</v>
      </c>
      <c r="L10" s="36" t="s">
        <v>69</v>
      </c>
      <c r="M10" s="36" t="s">
        <v>54</v>
      </c>
      <c r="N10" s="27" t="s">
        <v>10</v>
      </c>
      <c r="O10" s="27"/>
      <c r="P10" s="27" t="s">
        <v>5</v>
      </c>
      <c r="Q10" s="27" t="s">
        <v>15</v>
      </c>
      <c r="R10" s="13"/>
    </row>
    <row r="11" spans="1:21" x14ac:dyDescent="0.55000000000000004">
      <c r="A11" s="20">
        <v>9</v>
      </c>
      <c r="B11" s="26" t="s">
        <v>26</v>
      </c>
      <c r="C11" s="26" t="s">
        <v>40</v>
      </c>
      <c r="D11" s="27" t="s">
        <v>17</v>
      </c>
      <c r="E11" s="34">
        <v>1</v>
      </c>
      <c r="F11" s="47">
        <v>20000</v>
      </c>
      <c r="G11" s="27" t="s">
        <v>5</v>
      </c>
      <c r="H11" s="64" t="s">
        <v>86</v>
      </c>
      <c r="I11" s="63" t="s">
        <v>111</v>
      </c>
      <c r="J11" s="67"/>
      <c r="K11" s="33">
        <v>9</v>
      </c>
      <c r="L11" s="36" t="s">
        <v>69</v>
      </c>
      <c r="M11" s="36" t="s">
        <v>55</v>
      </c>
      <c r="N11" s="27" t="s">
        <v>10</v>
      </c>
      <c r="O11" s="27"/>
      <c r="P11" s="27" t="s">
        <v>5</v>
      </c>
      <c r="Q11" s="27" t="s">
        <v>15</v>
      </c>
      <c r="R11" s="13"/>
    </row>
    <row r="12" spans="1:21" x14ac:dyDescent="0.55000000000000004">
      <c r="A12" s="25">
        <v>10</v>
      </c>
      <c r="B12" s="26" t="s">
        <v>38</v>
      </c>
      <c r="C12" s="26" t="s">
        <v>94</v>
      </c>
      <c r="D12" s="27" t="s">
        <v>10</v>
      </c>
      <c r="E12" s="35">
        <v>0.25</v>
      </c>
      <c r="F12" s="47">
        <v>5000</v>
      </c>
      <c r="G12" s="27" t="s">
        <v>88</v>
      </c>
      <c r="H12" s="64" t="s">
        <v>86</v>
      </c>
      <c r="I12" s="63" t="s">
        <v>111</v>
      </c>
      <c r="J12" s="67"/>
      <c r="K12" s="33">
        <v>10</v>
      </c>
      <c r="L12" s="36" t="s">
        <v>69</v>
      </c>
      <c r="M12" s="36" t="s">
        <v>56</v>
      </c>
      <c r="N12" s="27" t="s">
        <v>10</v>
      </c>
      <c r="O12" s="27"/>
      <c r="P12" s="27" t="s">
        <v>5</v>
      </c>
      <c r="Q12" s="27" t="s">
        <v>15</v>
      </c>
      <c r="R12" s="13"/>
    </row>
    <row r="13" spans="1:21" x14ac:dyDescent="0.55000000000000004">
      <c r="A13" s="20">
        <v>11</v>
      </c>
      <c r="B13" s="26" t="s">
        <v>32</v>
      </c>
      <c r="C13" s="26"/>
      <c r="D13" s="27" t="s">
        <v>10</v>
      </c>
      <c r="E13" s="28">
        <v>1</v>
      </c>
      <c r="F13" s="47">
        <v>20000</v>
      </c>
      <c r="G13" s="27" t="s">
        <v>88</v>
      </c>
      <c r="H13" s="30" t="s">
        <v>86</v>
      </c>
      <c r="I13" s="12" t="s">
        <v>39</v>
      </c>
      <c r="J13" s="67"/>
      <c r="K13" s="33">
        <v>11</v>
      </c>
      <c r="L13" s="36" t="s">
        <v>69</v>
      </c>
      <c r="M13" s="36" t="s">
        <v>90</v>
      </c>
      <c r="N13" s="27" t="s">
        <v>10</v>
      </c>
      <c r="O13" s="27"/>
      <c r="P13" s="27" t="s">
        <v>5</v>
      </c>
      <c r="Q13" s="27" t="s">
        <v>15</v>
      </c>
      <c r="R13" s="13"/>
    </row>
    <row r="14" spans="1:21" x14ac:dyDescent="0.55000000000000004">
      <c r="A14" s="25">
        <v>12</v>
      </c>
      <c r="B14" s="26" t="s">
        <v>27</v>
      </c>
      <c r="C14" s="26" t="s">
        <v>80</v>
      </c>
      <c r="D14" s="27" t="s">
        <v>16</v>
      </c>
      <c r="E14" s="28">
        <v>0.5</v>
      </c>
      <c r="F14" s="47">
        <v>10000</v>
      </c>
      <c r="G14" s="27" t="s">
        <v>5</v>
      </c>
      <c r="H14" s="30" t="s">
        <v>86</v>
      </c>
      <c r="I14" s="12" t="s">
        <v>103</v>
      </c>
      <c r="J14" s="67"/>
      <c r="K14" s="33">
        <v>12</v>
      </c>
      <c r="L14" s="36" t="s">
        <v>69</v>
      </c>
      <c r="M14" s="36" t="s">
        <v>57</v>
      </c>
      <c r="N14" s="27" t="s">
        <v>10</v>
      </c>
      <c r="O14" s="27"/>
      <c r="P14" s="27" t="s">
        <v>5</v>
      </c>
      <c r="Q14" s="27" t="s">
        <v>15</v>
      </c>
      <c r="R14" s="13"/>
    </row>
    <row r="15" spans="1:21" x14ac:dyDescent="0.55000000000000004">
      <c r="A15" s="20">
        <v>13</v>
      </c>
      <c r="B15" s="26" t="s">
        <v>21</v>
      </c>
      <c r="C15" s="37"/>
      <c r="D15" s="27" t="s">
        <v>10</v>
      </c>
      <c r="E15" s="28">
        <v>0.5</v>
      </c>
      <c r="F15" s="47">
        <v>10000</v>
      </c>
      <c r="G15" s="27" t="s">
        <v>5</v>
      </c>
      <c r="H15" s="64" t="s">
        <v>86</v>
      </c>
      <c r="I15" s="63" t="s">
        <v>111</v>
      </c>
      <c r="J15" s="67"/>
      <c r="K15" s="33">
        <v>13</v>
      </c>
      <c r="L15" s="29" t="s">
        <v>48</v>
      </c>
      <c r="M15" s="29"/>
      <c r="N15" s="30" t="s">
        <v>49</v>
      </c>
      <c r="O15" s="30"/>
      <c r="P15" s="30" t="s">
        <v>5</v>
      </c>
      <c r="Q15" s="30" t="s">
        <v>8</v>
      </c>
      <c r="R15" s="31"/>
    </row>
    <row r="16" spans="1:21" x14ac:dyDescent="0.55000000000000004">
      <c r="A16" s="25">
        <v>14</v>
      </c>
      <c r="B16" s="21" t="s">
        <v>150</v>
      </c>
      <c r="C16" s="21" t="s">
        <v>145</v>
      </c>
      <c r="D16" s="22" t="s">
        <v>16</v>
      </c>
      <c r="E16" s="38">
        <v>0.5</v>
      </c>
      <c r="F16" s="46">
        <v>10000</v>
      </c>
      <c r="G16" s="22" t="s">
        <v>5</v>
      </c>
      <c r="H16" s="30" t="s">
        <v>15</v>
      </c>
      <c r="I16" s="11" t="s">
        <v>44</v>
      </c>
      <c r="J16" s="67"/>
      <c r="K16" s="33">
        <v>14</v>
      </c>
      <c r="L16" s="29" t="s">
        <v>50</v>
      </c>
      <c r="M16" s="29"/>
      <c r="N16" s="30" t="s">
        <v>49</v>
      </c>
      <c r="O16" s="30"/>
      <c r="P16" s="30" t="s">
        <v>5</v>
      </c>
      <c r="Q16" s="30" t="s">
        <v>8</v>
      </c>
      <c r="R16" s="31"/>
    </row>
    <row r="17" spans="1:18" x14ac:dyDescent="0.55000000000000004">
      <c r="A17" s="20">
        <v>15</v>
      </c>
      <c r="B17" s="26" t="s">
        <v>33</v>
      </c>
      <c r="C17" s="26" t="s">
        <v>151</v>
      </c>
      <c r="D17" s="27" t="s">
        <v>16</v>
      </c>
      <c r="E17" s="28">
        <v>0.5</v>
      </c>
      <c r="F17" s="47">
        <v>10000</v>
      </c>
      <c r="G17" s="27" t="s">
        <v>5</v>
      </c>
      <c r="H17" s="30" t="s">
        <v>15</v>
      </c>
      <c r="I17" s="12" t="s">
        <v>72</v>
      </c>
      <c r="J17" s="67"/>
      <c r="K17" s="33">
        <v>15</v>
      </c>
      <c r="L17" s="29" t="s">
        <v>64</v>
      </c>
      <c r="M17" s="29"/>
      <c r="N17" s="30" t="s">
        <v>17</v>
      </c>
      <c r="O17" s="30"/>
      <c r="P17" s="30" t="s">
        <v>5</v>
      </c>
      <c r="Q17" s="30" t="s">
        <v>8</v>
      </c>
      <c r="R17" s="31"/>
    </row>
    <row r="18" spans="1:18" x14ac:dyDescent="0.55000000000000004">
      <c r="A18" s="25">
        <v>16</v>
      </c>
      <c r="B18" s="26" t="s">
        <v>93</v>
      </c>
      <c r="C18" s="26" t="s">
        <v>146</v>
      </c>
      <c r="D18" s="27" t="s">
        <v>10</v>
      </c>
      <c r="E18" s="28">
        <v>0.5</v>
      </c>
      <c r="F18" s="47"/>
      <c r="G18" s="64" t="s">
        <v>108</v>
      </c>
      <c r="H18" s="64"/>
      <c r="I18" s="65" t="s">
        <v>141</v>
      </c>
      <c r="J18" s="67"/>
      <c r="K18" s="33">
        <v>16</v>
      </c>
      <c r="L18" s="26" t="s">
        <v>60</v>
      </c>
      <c r="M18" s="26" t="s">
        <v>61</v>
      </c>
      <c r="N18" s="27" t="s">
        <v>85</v>
      </c>
      <c r="O18" s="27"/>
      <c r="P18" s="27" t="s">
        <v>5</v>
      </c>
      <c r="Q18" s="27" t="s">
        <v>8</v>
      </c>
      <c r="R18" s="13"/>
    </row>
    <row r="19" spans="1:18" x14ac:dyDescent="0.55000000000000004">
      <c r="A19" s="20">
        <v>17</v>
      </c>
      <c r="B19" s="26"/>
      <c r="C19" s="26"/>
      <c r="D19" s="27"/>
      <c r="E19" s="28"/>
      <c r="F19" s="47"/>
      <c r="G19" s="27"/>
      <c r="H19" s="27"/>
      <c r="I19" s="12"/>
      <c r="J19" s="67"/>
      <c r="K19" s="33">
        <v>17</v>
      </c>
      <c r="L19" s="26" t="s">
        <v>76</v>
      </c>
      <c r="M19" s="26" t="s">
        <v>75</v>
      </c>
      <c r="N19" s="27" t="s">
        <v>36</v>
      </c>
      <c r="O19" s="27"/>
      <c r="P19" s="27" t="s">
        <v>5</v>
      </c>
      <c r="Q19" s="27" t="s">
        <v>8</v>
      </c>
      <c r="R19" s="13"/>
    </row>
    <row r="20" spans="1:18" x14ac:dyDescent="0.55000000000000004">
      <c r="A20" s="25">
        <v>18</v>
      </c>
      <c r="B20" s="26"/>
      <c r="C20" s="26"/>
      <c r="D20" s="27"/>
      <c r="E20" s="28"/>
      <c r="F20" s="47"/>
      <c r="G20" s="27"/>
      <c r="H20" s="27"/>
      <c r="I20" s="12"/>
      <c r="J20" s="67"/>
      <c r="K20" s="33">
        <v>18</v>
      </c>
      <c r="L20" s="26" t="s">
        <v>117</v>
      </c>
      <c r="M20" s="26" t="s">
        <v>41</v>
      </c>
      <c r="N20" s="27" t="s">
        <v>9</v>
      </c>
      <c r="O20" s="27"/>
      <c r="P20" s="27" t="s">
        <v>5</v>
      </c>
      <c r="Q20" s="27" t="s">
        <v>106</v>
      </c>
      <c r="R20" s="13"/>
    </row>
    <row r="21" spans="1:18" x14ac:dyDescent="0.55000000000000004">
      <c r="A21" s="20" t="s">
        <v>148</v>
      </c>
      <c r="B21" s="56" t="s">
        <v>30</v>
      </c>
      <c r="C21" s="56" t="s">
        <v>31</v>
      </c>
      <c r="D21" s="55" t="s">
        <v>10</v>
      </c>
      <c r="E21" s="57" t="s">
        <v>95</v>
      </c>
      <c r="F21" s="58" t="s">
        <v>95</v>
      </c>
      <c r="G21" s="55" t="s">
        <v>87</v>
      </c>
      <c r="H21" s="59" t="s">
        <v>82</v>
      </c>
      <c r="I21" s="60" t="s">
        <v>39</v>
      </c>
      <c r="J21" s="67"/>
      <c r="K21" s="33">
        <v>19</v>
      </c>
      <c r="L21" s="26" t="s">
        <v>118</v>
      </c>
      <c r="M21" s="26" t="s">
        <v>107</v>
      </c>
      <c r="N21" s="27" t="s">
        <v>11</v>
      </c>
      <c r="O21" s="27"/>
      <c r="P21" s="27" t="s">
        <v>108</v>
      </c>
      <c r="Q21" s="27" t="s">
        <v>8</v>
      </c>
      <c r="R21" s="79"/>
    </row>
    <row r="22" spans="1:18" x14ac:dyDescent="0.55000000000000004">
      <c r="A22" s="25" t="s">
        <v>148</v>
      </c>
      <c r="B22" s="56" t="s">
        <v>63</v>
      </c>
      <c r="C22" s="56" t="s">
        <v>78</v>
      </c>
      <c r="D22" s="55" t="s">
        <v>16</v>
      </c>
      <c r="E22" s="57" t="s">
        <v>95</v>
      </c>
      <c r="F22" s="58" t="s">
        <v>95</v>
      </c>
      <c r="G22" s="55" t="s">
        <v>87</v>
      </c>
      <c r="H22" s="55" t="s">
        <v>91</v>
      </c>
      <c r="I22" s="60" t="s">
        <v>83</v>
      </c>
      <c r="J22" s="67"/>
      <c r="K22" s="33">
        <v>20</v>
      </c>
      <c r="L22" s="26" t="s">
        <v>119</v>
      </c>
      <c r="M22" s="26" t="s">
        <v>109</v>
      </c>
      <c r="N22" s="27" t="s">
        <v>10</v>
      </c>
      <c r="O22" s="27"/>
      <c r="P22" s="27" t="s">
        <v>5</v>
      </c>
      <c r="Q22" s="27" t="s">
        <v>106</v>
      </c>
      <c r="R22" s="79"/>
    </row>
    <row r="23" spans="1:18" ht="18.5" thickBot="1" x14ac:dyDescent="0.6">
      <c r="A23" s="39"/>
      <c r="B23" s="40"/>
      <c r="C23" s="40"/>
      <c r="D23" s="41" t="s">
        <v>70</v>
      </c>
      <c r="E23" s="42">
        <f>SUM(E3:E22)</f>
        <v>10.25</v>
      </c>
      <c r="F23" s="48" t="s">
        <v>71</v>
      </c>
      <c r="G23" s="43" t="s">
        <v>73</v>
      </c>
      <c r="H23" s="43"/>
      <c r="I23" s="14" t="s">
        <v>74</v>
      </c>
      <c r="J23" s="67"/>
      <c r="K23" s="33">
        <v>21</v>
      </c>
      <c r="L23" s="26" t="s">
        <v>120</v>
      </c>
      <c r="M23" s="26" t="s">
        <v>147</v>
      </c>
      <c r="N23" s="27" t="s">
        <v>10</v>
      </c>
      <c r="O23" s="27"/>
      <c r="P23" s="27" t="s">
        <v>5</v>
      </c>
      <c r="Q23" s="27" t="s">
        <v>15</v>
      </c>
      <c r="R23" s="79"/>
    </row>
    <row r="24" spans="1:18" ht="18.5" thickBot="1" x14ac:dyDescent="0.6">
      <c r="A24" s="61"/>
      <c r="B24" s="92"/>
      <c r="C24" s="92"/>
      <c r="D24" s="61"/>
      <c r="E24" s="93"/>
      <c r="F24" s="94"/>
      <c r="G24" s="61"/>
      <c r="H24" s="61"/>
      <c r="I24" s="95"/>
      <c r="J24" s="68"/>
      <c r="K24" s="33">
        <v>22</v>
      </c>
      <c r="L24" s="26" t="s">
        <v>149</v>
      </c>
      <c r="M24" s="26" t="s">
        <v>24</v>
      </c>
      <c r="N24" s="27" t="s">
        <v>110</v>
      </c>
      <c r="O24" s="27"/>
      <c r="P24" s="27" t="s">
        <v>5</v>
      </c>
      <c r="Q24" s="27" t="s">
        <v>15</v>
      </c>
      <c r="R24" s="79"/>
    </row>
    <row r="25" spans="1:18" x14ac:dyDescent="0.55000000000000004">
      <c r="A25" s="73" t="s">
        <v>20</v>
      </c>
      <c r="B25" s="147" t="s">
        <v>138</v>
      </c>
      <c r="C25" s="148"/>
      <c r="D25" s="148"/>
      <c r="E25" s="148"/>
      <c r="F25" s="148"/>
      <c r="G25" s="148"/>
      <c r="H25" s="148"/>
      <c r="I25" s="149"/>
      <c r="J25" s="67"/>
      <c r="K25" s="33">
        <v>23</v>
      </c>
      <c r="L25" s="26" t="s">
        <v>121</v>
      </c>
      <c r="M25" s="26"/>
      <c r="N25" s="27" t="s">
        <v>110</v>
      </c>
      <c r="O25" s="27"/>
      <c r="P25" s="27" t="s">
        <v>5</v>
      </c>
      <c r="Q25" s="27" t="s">
        <v>15</v>
      </c>
      <c r="R25" s="79"/>
    </row>
    <row r="26" spans="1:18" ht="18.5" thickBot="1" x14ac:dyDescent="0.6">
      <c r="A26" s="97"/>
      <c r="B26" s="125" t="s">
        <v>126</v>
      </c>
      <c r="C26" s="126"/>
      <c r="D26" s="98" t="s">
        <v>131</v>
      </c>
      <c r="E26" s="98" t="s">
        <v>127</v>
      </c>
      <c r="F26" s="98" t="s">
        <v>128</v>
      </c>
      <c r="G26" s="125" t="s">
        <v>4</v>
      </c>
      <c r="H26" s="137"/>
      <c r="I26" s="138"/>
      <c r="J26" s="67"/>
      <c r="K26" s="33">
        <v>24</v>
      </c>
      <c r="L26" s="80" t="s">
        <v>122</v>
      </c>
      <c r="M26" s="80"/>
      <c r="N26" s="81" t="s">
        <v>124</v>
      </c>
      <c r="O26" s="81"/>
      <c r="P26" s="81"/>
      <c r="Q26" s="81"/>
      <c r="R26" s="82"/>
    </row>
    <row r="27" spans="1:18" ht="18.5" thickTop="1" x14ac:dyDescent="0.55000000000000004">
      <c r="A27" s="96">
        <v>1</v>
      </c>
      <c r="B27" s="127" t="s">
        <v>125</v>
      </c>
      <c r="C27" s="128"/>
      <c r="D27" s="62" t="s">
        <v>132</v>
      </c>
      <c r="E27" s="62" t="s">
        <v>134</v>
      </c>
      <c r="F27" s="62" t="s">
        <v>134</v>
      </c>
      <c r="G27" s="133" t="s">
        <v>135</v>
      </c>
      <c r="H27" s="128"/>
      <c r="I27" s="134"/>
      <c r="J27" s="69"/>
      <c r="K27" s="33">
        <v>25</v>
      </c>
      <c r="L27" s="80" t="s">
        <v>123</v>
      </c>
      <c r="M27" s="80"/>
      <c r="N27" s="81"/>
      <c r="O27" s="81"/>
      <c r="P27" s="81"/>
      <c r="Q27" s="81"/>
      <c r="R27" s="82"/>
    </row>
    <row r="28" spans="1:18" x14ac:dyDescent="0.55000000000000004">
      <c r="A28" s="91">
        <v>2</v>
      </c>
      <c r="B28" s="129" t="s">
        <v>129</v>
      </c>
      <c r="C28" s="130"/>
      <c r="D28" s="81" t="s">
        <v>132</v>
      </c>
      <c r="E28" s="81" t="s">
        <v>133</v>
      </c>
      <c r="F28" s="81" t="s">
        <v>133</v>
      </c>
      <c r="G28" s="135"/>
      <c r="H28" s="130"/>
      <c r="I28" s="136"/>
      <c r="K28" s="33">
        <v>26</v>
      </c>
      <c r="L28" s="36" t="s">
        <v>101</v>
      </c>
      <c r="M28" s="36"/>
      <c r="N28" s="27" t="s">
        <v>47</v>
      </c>
      <c r="O28" s="27"/>
      <c r="P28" s="27" t="s">
        <v>88</v>
      </c>
      <c r="Q28" s="27" t="s">
        <v>86</v>
      </c>
      <c r="R28" s="13"/>
    </row>
    <row r="29" spans="1:18" x14ac:dyDescent="0.55000000000000004">
      <c r="A29" s="91">
        <v>3</v>
      </c>
      <c r="B29" s="131" t="s">
        <v>136</v>
      </c>
      <c r="C29" s="130"/>
      <c r="D29" s="81" t="s">
        <v>132</v>
      </c>
      <c r="E29" s="81" t="s">
        <v>134</v>
      </c>
      <c r="F29" s="81" t="s">
        <v>134</v>
      </c>
      <c r="G29" s="135" t="s">
        <v>137</v>
      </c>
      <c r="H29" s="130"/>
      <c r="I29" s="136"/>
      <c r="K29" s="33">
        <v>27</v>
      </c>
      <c r="L29" s="80" t="s">
        <v>112</v>
      </c>
      <c r="M29" s="83"/>
      <c r="N29" s="81" t="s">
        <v>36</v>
      </c>
      <c r="O29" s="81"/>
      <c r="P29" s="81" t="s">
        <v>88</v>
      </c>
      <c r="Q29" s="81" t="s">
        <v>8</v>
      </c>
      <c r="R29" s="84" t="s">
        <v>115</v>
      </c>
    </row>
    <row r="30" spans="1:18" x14ac:dyDescent="0.55000000000000004">
      <c r="A30" s="91">
        <v>4</v>
      </c>
      <c r="B30" s="131" t="s">
        <v>130</v>
      </c>
      <c r="C30" s="130"/>
      <c r="D30" s="81" t="s">
        <v>128</v>
      </c>
      <c r="E30" s="81" t="s">
        <v>36</v>
      </c>
      <c r="F30" s="81" t="s">
        <v>36</v>
      </c>
      <c r="G30" s="135"/>
      <c r="H30" s="130"/>
      <c r="I30" s="136"/>
      <c r="K30" s="33">
        <v>28</v>
      </c>
      <c r="L30" s="83" t="s">
        <v>113</v>
      </c>
      <c r="M30" s="80"/>
      <c r="N30" s="81"/>
      <c r="O30" s="81"/>
      <c r="P30" s="81"/>
      <c r="Q30" s="81"/>
      <c r="R30" s="84" t="s">
        <v>114</v>
      </c>
    </row>
    <row r="31" spans="1:18" x14ac:dyDescent="0.55000000000000004">
      <c r="A31" s="91">
        <v>5</v>
      </c>
      <c r="B31" s="131"/>
      <c r="C31" s="130"/>
      <c r="D31" s="81"/>
      <c r="E31" s="81"/>
      <c r="F31" s="81"/>
      <c r="G31" s="135"/>
      <c r="H31" s="130"/>
      <c r="I31" s="136"/>
      <c r="K31" s="85"/>
      <c r="L31" s="26"/>
      <c r="M31" s="26"/>
      <c r="N31" s="27"/>
      <c r="O31" s="27"/>
      <c r="P31" s="27"/>
      <c r="Q31" s="27"/>
      <c r="R31" s="79"/>
    </row>
    <row r="32" spans="1:18" ht="18.5" thickBot="1" x14ac:dyDescent="0.6">
      <c r="A32" s="88">
        <v>6</v>
      </c>
      <c r="B32" s="132"/>
      <c r="C32" s="123"/>
      <c r="D32" s="89"/>
      <c r="E32" s="89"/>
      <c r="F32" s="90"/>
      <c r="G32" s="122"/>
      <c r="H32" s="123"/>
      <c r="I32" s="124"/>
      <c r="K32" s="33" t="s">
        <v>148</v>
      </c>
      <c r="L32" s="86" t="s">
        <v>105</v>
      </c>
      <c r="M32" s="86" t="s">
        <v>62</v>
      </c>
      <c r="N32" s="55" t="s">
        <v>10</v>
      </c>
      <c r="O32" s="55"/>
      <c r="P32" s="55" t="s">
        <v>81</v>
      </c>
      <c r="Q32" s="55" t="s">
        <v>82</v>
      </c>
      <c r="R32" s="87"/>
    </row>
    <row r="33" spans="11:18" ht="18.5" thickBot="1" x14ac:dyDescent="0.6">
      <c r="K33" s="74"/>
      <c r="L33" s="75"/>
      <c r="M33" s="76"/>
      <c r="N33" s="77"/>
      <c r="O33" s="77"/>
      <c r="P33" s="77"/>
      <c r="Q33" s="77"/>
      <c r="R33" s="78"/>
    </row>
    <row r="34" spans="11:18" x14ac:dyDescent="0.55000000000000004">
      <c r="L34" s="32"/>
    </row>
    <row r="35" spans="11:18" x14ac:dyDescent="0.55000000000000004">
      <c r="K35" s="70" t="s">
        <v>116</v>
      </c>
      <c r="L35" s="71" t="s">
        <v>142</v>
      </c>
      <c r="M35" s="71"/>
      <c r="N35" s="70" t="s">
        <v>102</v>
      </c>
      <c r="O35" s="70"/>
      <c r="P35" s="70" t="s">
        <v>88</v>
      </c>
      <c r="Q35" s="70" t="s">
        <v>99</v>
      </c>
      <c r="R35" s="72" t="s">
        <v>143</v>
      </c>
    </row>
    <row r="36" spans="11:18" x14ac:dyDescent="0.55000000000000004">
      <c r="K36" s="70" t="s">
        <v>116</v>
      </c>
      <c r="L36" s="71" t="s">
        <v>139</v>
      </c>
      <c r="M36" s="71"/>
      <c r="N36" s="70" t="s">
        <v>36</v>
      </c>
      <c r="O36" s="70"/>
      <c r="P36" s="70" t="s">
        <v>88</v>
      </c>
      <c r="Q36" s="70" t="s">
        <v>15</v>
      </c>
      <c r="R36" s="72" t="s">
        <v>140</v>
      </c>
    </row>
  </sheetData>
  <mergeCells count="19">
    <mergeCell ref="B1:I1"/>
    <mergeCell ref="A1:A2"/>
    <mergeCell ref="L1:R1"/>
    <mergeCell ref="K1:K2"/>
    <mergeCell ref="B25:I25"/>
    <mergeCell ref="G32:I32"/>
    <mergeCell ref="B26:C26"/>
    <mergeCell ref="B27:C27"/>
    <mergeCell ref="B28:C28"/>
    <mergeCell ref="B29:C29"/>
    <mergeCell ref="B30:C30"/>
    <mergeCell ref="B31:C31"/>
    <mergeCell ref="B32:C32"/>
    <mergeCell ref="G27:I27"/>
    <mergeCell ref="G28:I28"/>
    <mergeCell ref="G29:I29"/>
    <mergeCell ref="G30:I30"/>
    <mergeCell ref="G31:I31"/>
    <mergeCell ref="G26:I26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D966-178B-40D4-A5B6-FCE7C58EA5DB}">
  <dimension ref="A1:S37"/>
  <sheetViews>
    <sheetView tabSelected="1" topLeftCell="A18" zoomScale="90" zoomScaleNormal="90" workbookViewId="0">
      <selection activeCell="I12" sqref="I12"/>
    </sheetView>
  </sheetViews>
  <sheetFormatPr defaultColWidth="9" defaultRowHeight="18" x14ac:dyDescent="0.55000000000000004"/>
  <cols>
    <col min="1" max="1" width="6.58203125" style="19" customWidth="1"/>
    <col min="2" max="2" width="28.08203125" style="16" bestFit="1" customWidth="1"/>
    <col min="3" max="3" width="34.25" style="16" customWidth="1"/>
    <col min="4" max="4" width="6.83203125" style="19" customWidth="1"/>
    <col min="5" max="5" width="7.25" style="44" bestFit="1" customWidth="1"/>
    <col min="6" max="6" width="7.33203125" style="49" bestFit="1" customWidth="1"/>
    <col min="7" max="7" width="9.25" style="19" bestFit="1" customWidth="1"/>
    <col min="8" max="8" width="7.08203125" style="19" customWidth="1"/>
    <col min="9" max="9" width="25" style="16" bestFit="1" customWidth="1"/>
    <col min="10" max="10" width="4.83203125" style="16" customWidth="1"/>
    <col min="11" max="11" width="6.58203125" style="19" customWidth="1"/>
    <col min="12" max="12" width="38.08203125" style="16" bestFit="1" customWidth="1"/>
    <col min="13" max="13" width="34.5" style="16" bestFit="1" customWidth="1"/>
    <col min="14" max="14" width="9" style="19"/>
    <col min="15" max="15" width="10.5" style="19" bestFit="1" customWidth="1"/>
    <col min="16" max="16" width="9.33203125" style="19" bestFit="1" customWidth="1"/>
    <col min="17" max="17" width="5.83203125" style="19" bestFit="1" customWidth="1"/>
    <col min="18" max="18" width="41.58203125" style="16" bestFit="1" customWidth="1"/>
    <col min="19" max="16384" width="9" style="16"/>
  </cols>
  <sheetData>
    <row r="1" spans="1:19" x14ac:dyDescent="0.55000000000000004">
      <c r="A1" s="150" t="s">
        <v>20</v>
      </c>
      <c r="B1" s="152" t="s">
        <v>152</v>
      </c>
      <c r="C1" s="153"/>
      <c r="D1" s="153"/>
      <c r="E1" s="153"/>
      <c r="F1" s="153"/>
      <c r="G1" s="153"/>
      <c r="H1" s="153"/>
      <c r="I1" s="153"/>
      <c r="J1" s="66"/>
      <c r="K1" s="154" t="s">
        <v>20</v>
      </c>
      <c r="L1" s="156" t="s">
        <v>153</v>
      </c>
      <c r="M1" s="156"/>
      <c r="N1" s="156"/>
      <c r="O1" s="156"/>
      <c r="P1" s="156"/>
      <c r="Q1" s="156"/>
      <c r="R1" s="157"/>
    </row>
    <row r="2" spans="1:19" s="19" customFormat="1" ht="18.5" thickBot="1" x14ac:dyDescent="0.6">
      <c r="A2" s="151"/>
      <c r="B2" s="110" t="s">
        <v>0</v>
      </c>
      <c r="C2" s="110" t="s">
        <v>29</v>
      </c>
      <c r="D2" s="110" t="s">
        <v>1</v>
      </c>
      <c r="E2" s="116" t="s">
        <v>3</v>
      </c>
      <c r="F2" s="117" t="s">
        <v>2</v>
      </c>
      <c r="G2" s="110" t="s">
        <v>19</v>
      </c>
      <c r="H2" s="110" t="s">
        <v>25</v>
      </c>
      <c r="I2" s="118" t="s">
        <v>4</v>
      </c>
      <c r="J2" s="66"/>
      <c r="K2" s="155"/>
      <c r="L2" s="119" t="s">
        <v>51</v>
      </c>
      <c r="M2" s="119" t="s">
        <v>29</v>
      </c>
      <c r="N2" s="119" t="s">
        <v>1</v>
      </c>
      <c r="O2" s="119" t="s">
        <v>3</v>
      </c>
      <c r="P2" s="119" t="s">
        <v>46</v>
      </c>
      <c r="Q2" s="120" t="s">
        <v>25</v>
      </c>
      <c r="R2" s="121" t="s">
        <v>4</v>
      </c>
    </row>
    <row r="3" spans="1:19" ht="18.5" thickTop="1" x14ac:dyDescent="0.55000000000000004">
      <c r="A3" s="20">
        <v>1</v>
      </c>
      <c r="B3" s="21" t="s">
        <v>42</v>
      </c>
      <c r="C3" s="21" t="s">
        <v>196</v>
      </c>
      <c r="D3" s="22" t="s">
        <v>9</v>
      </c>
      <c r="E3" s="23">
        <v>1</v>
      </c>
      <c r="F3" s="46">
        <v>20000</v>
      </c>
      <c r="G3" s="178" t="s">
        <v>5</v>
      </c>
      <c r="H3" s="22"/>
      <c r="I3" s="11"/>
      <c r="J3" s="67"/>
      <c r="K3" s="51">
        <v>1</v>
      </c>
      <c r="L3" s="52" t="s">
        <v>77</v>
      </c>
      <c r="M3" s="53"/>
      <c r="N3" s="53" t="s">
        <v>10</v>
      </c>
      <c r="O3" s="53"/>
      <c r="P3" s="53"/>
      <c r="Q3" s="53"/>
      <c r="R3" s="54" t="s">
        <v>84</v>
      </c>
    </row>
    <row r="4" spans="1:19" x14ac:dyDescent="0.55000000000000004">
      <c r="A4" s="25">
        <v>2</v>
      </c>
      <c r="B4" s="26" t="s">
        <v>43</v>
      </c>
      <c r="C4" s="26"/>
      <c r="D4" s="27" t="s">
        <v>11</v>
      </c>
      <c r="E4" s="28">
        <v>0.5</v>
      </c>
      <c r="F4" s="47">
        <v>10000</v>
      </c>
      <c r="G4" s="27"/>
      <c r="H4" s="27"/>
      <c r="I4" s="12"/>
      <c r="J4" s="67"/>
      <c r="K4" s="50">
        <v>2</v>
      </c>
      <c r="L4" s="24"/>
      <c r="M4" s="24"/>
      <c r="N4" s="15" t="s">
        <v>10</v>
      </c>
      <c r="O4" s="15"/>
      <c r="P4" s="15"/>
      <c r="Q4" s="15"/>
      <c r="R4" s="45" t="s">
        <v>104</v>
      </c>
      <c r="S4" s="32"/>
    </row>
    <row r="5" spans="1:19" x14ac:dyDescent="0.55000000000000004">
      <c r="A5" s="20">
        <v>3</v>
      </c>
      <c r="B5" s="26" t="s">
        <v>6</v>
      </c>
      <c r="C5" s="26"/>
      <c r="D5" s="27" t="s">
        <v>10</v>
      </c>
      <c r="E5" s="28">
        <v>0.5</v>
      </c>
      <c r="F5" s="47">
        <v>10000</v>
      </c>
      <c r="G5" s="27"/>
      <c r="H5" s="22"/>
      <c r="I5" s="11"/>
      <c r="J5" s="67"/>
      <c r="K5" s="33">
        <v>3</v>
      </c>
      <c r="L5" s="29" t="s">
        <v>172</v>
      </c>
      <c r="M5" s="29" t="s">
        <v>173</v>
      </c>
      <c r="N5" s="30" t="s">
        <v>10</v>
      </c>
      <c r="O5" s="30"/>
      <c r="P5" s="30"/>
      <c r="Q5" s="30"/>
      <c r="R5" s="31" t="s">
        <v>58</v>
      </c>
      <c r="S5" s="32"/>
    </row>
    <row r="6" spans="1:19" x14ac:dyDescent="0.55000000000000004">
      <c r="A6" s="25">
        <v>4</v>
      </c>
      <c r="B6" s="26" t="s">
        <v>12</v>
      </c>
      <c r="C6" s="26" t="s">
        <v>197</v>
      </c>
      <c r="D6" s="27" t="s">
        <v>159</v>
      </c>
      <c r="E6" s="28">
        <v>0.5</v>
      </c>
      <c r="F6" s="47">
        <v>10000</v>
      </c>
      <c r="G6" s="27" t="s">
        <v>5</v>
      </c>
      <c r="H6" s="27"/>
      <c r="I6" s="12"/>
      <c r="J6" s="67"/>
      <c r="K6" s="33">
        <v>4</v>
      </c>
      <c r="L6" s="36" t="s">
        <v>100</v>
      </c>
      <c r="M6" s="26" t="s">
        <v>180</v>
      </c>
      <c r="N6" s="27" t="s">
        <v>10</v>
      </c>
      <c r="O6" s="27"/>
      <c r="P6" s="30"/>
      <c r="Q6" s="30"/>
      <c r="R6" s="31" t="s">
        <v>58</v>
      </c>
      <c r="S6" s="32"/>
    </row>
    <row r="7" spans="1:19" x14ac:dyDescent="0.55000000000000004">
      <c r="A7" s="20">
        <v>5</v>
      </c>
      <c r="B7" s="26" t="s">
        <v>13</v>
      </c>
      <c r="C7" s="26" t="s">
        <v>198</v>
      </c>
      <c r="D7" s="27" t="s">
        <v>16</v>
      </c>
      <c r="E7" s="28">
        <v>0.5</v>
      </c>
      <c r="F7" s="47">
        <v>10000</v>
      </c>
      <c r="G7" s="27"/>
      <c r="H7" s="30"/>
      <c r="I7" s="12"/>
      <c r="J7" s="67"/>
      <c r="K7" s="33">
        <v>5</v>
      </c>
      <c r="L7" s="36" t="s">
        <v>176</v>
      </c>
      <c r="M7" s="36" t="s">
        <v>184</v>
      </c>
      <c r="N7" s="27" t="s">
        <v>193</v>
      </c>
      <c r="O7" s="27"/>
      <c r="P7" s="27"/>
      <c r="Q7" s="27"/>
      <c r="R7" s="13" t="s">
        <v>182</v>
      </c>
      <c r="S7" s="32"/>
    </row>
    <row r="8" spans="1:19" x14ac:dyDescent="0.55000000000000004">
      <c r="A8" s="25">
        <v>6</v>
      </c>
      <c r="B8" s="26" t="s">
        <v>22</v>
      </c>
      <c r="C8" s="26" t="s">
        <v>199</v>
      </c>
      <c r="D8" s="27" t="s">
        <v>17</v>
      </c>
      <c r="E8" s="28">
        <v>0.5</v>
      </c>
      <c r="F8" s="47">
        <v>10000</v>
      </c>
      <c r="G8" s="27"/>
      <c r="H8" s="30"/>
      <c r="I8" s="12"/>
      <c r="J8" s="67"/>
      <c r="K8" s="33">
        <v>6</v>
      </c>
      <c r="L8" s="99" t="s">
        <v>177</v>
      </c>
      <c r="M8" s="36" t="s">
        <v>174</v>
      </c>
      <c r="N8" s="177" t="s">
        <v>36</v>
      </c>
      <c r="O8" s="27"/>
      <c r="P8" s="27" t="s">
        <v>185</v>
      </c>
      <c r="Q8" s="27"/>
      <c r="R8" s="13"/>
    </row>
    <row r="9" spans="1:19" x14ac:dyDescent="0.55000000000000004">
      <c r="A9" s="20">
        <v>7</v>
      </c>
      <c r="B9" s="26" t="s">
        <v>37</v>
      </c>
      <c r="C9" s="26"/>
      <c r="D9" s="27" t="s">
        <v>17</v>
      </c>
      <c r="E9" s="34">
        <v>1</v>
      </c>
      <c r="F9" s="47">
        <v>20000</v>
      </c>
      <c r="G9" s="27"/>
      <c r="H9" s="30"/>
      <c r="I9" s="12"/>
      <c r="J9" s="67"/>
      <c r="K9" s="33">
        <v>7</v>
      </c>
      <c r="L9" s="99" t="s">
        <v>177</v>
      </c>
      <c r="M9" s="26" t="s">
        <v>194</v>
      </c>
      <c r="N9" s="27" t="s">
        <v>49</v>
      </c>
      <c r="O9" s="27"/>
      <c r="P9" s="27"/>
      <c r="Q9" s="27"/>
      <c r="R9" s="13"/>
    </row>
    <row r="10" spans="1:19" x14ac:dyDescent="0.55000000000000004">
      <c r="A10" s="25">
        <v>8</v>
      </c>
      <c r="B10" s="26" t="s">
        <v>18</v>
      </c>
      <c r="C10" s="26" t="s">
        <v>200</v>
      </c>
      <c r="D10" s="27" t="s">
        <v>17</v>
      </c>
      <c r="E10" s="34">
        <v>1</v>
      </c>
      <c r="F10" s="47">
        <v>20000</v>
      </c>
      <c r="G10" s="27"/>
      <c r="H10" s="30"/>
      <c r="I10" s="12"/>
      <c r="J10" s="67"/>
      <c r="K10" s="33">
        <v>8</v>
      </c>
      <c r="L10" s="99" t="s">
        <v>177</v>
      </c>
      <c r="M10" s="26" t="s">
        <v>191</v>
      </c>
      <c r="N10" s="27" t="s">
        <v>190</v>
      </c>
      <c r="O10" s="27"/>
      <c r="P10" s="27" t="s">
        <v>88</v>
      </c>
      <c r="Q10" s="27" t="s">
        <v>187</v>
      </c>
      <c r="R10" s="13"/>
    </row>
    <row r="11" spans="1:19" x14ac:dyDescent="0.55000000000000004">
      <c r="A11" s="20">
        <v>9</v>
      </c>
      <c r="B11" s="26" t="s">
        <v>26</v>
      </c>
      <c r="C11" s="26" t="s">
        <v>201</v>
      </c>
      <c r="D11" s="27" t="s">
        <v>17</v>
      </c>
      <c r="E11" s="34">
        <v>1</v>
      </c>
      <c r="F11" s="47">
        <v>20000</v>
      </c>
      <c r="G11" s="27"/>
      <c r="H11" s="30"/>
      <c r="I11" s="11"/>
      <c r="J11" s="67"/>
      <c r="K11" s="33">
        <v>9</v>
      </c>
      <c r="L11" s="99" t="s">
        <v>177</v>
      </c>
      <c r="M11" s="26" t="s">
        <v>211</v>
      </c>
      <c r="N11" s="27" t="s">
        <v>189</v>
      </c>
      <c r="O11" s="27" t="s">
        <v>209</v>
      </c>
      <c r="P11" s="27" t="s">
        <v>88</v>
      </c>
      <c r="Q11" s="27" t="s">
        <v>187</v>
      </c>
      <c r="R11" s="13"/>
    </row>
    <row r="12" spans="1:19" x14ac:dyDescent="0.55000000000000004">
      <c r="A12" s="25">
        <v>10</v>
      </c>
      <c r="B12" s="26" t="s">
        <v>38</v>
      </c>
      <c r="C12" s="26" t="s">
        <v>94</v>
      </c>
      <c r="D12" s="27" t="s">
        <v>10</v>
      </c>
      <c r="E12" s="35">
        <v>0.25</v>
      </c>
      <c r="F12" s="47">
        <v>5000</v>
      </c>
      <c r="G12" s="27"/>
      <c r="H12" s="30"/>
      <c r="I12" s="11"/>
      <c r="J12" s="67"/>
      <c r="K12" s="33">
        <v>10</v>
      </c>
      <c r="L12" s="99" t="s">
        <v>177</v>
      </c>
      <c r="M12" s="100" t="s">
        <v>179</v>
      </c>
      <c r="N12" s="27" t="s">
        <v>159</v>
      </c>
      <c r="O12" s="27"/>
      <c r="P12" s="27" t="s">
        <v>88</v>
      </c>
      <c r="Q12" s="27" t="s">
        <v>187</v>
      </c>
      <c r="R12" s="13"/>
    </row>
    <row r="13" spans="1:19" x14ac:dyDescent="0.55000000000000004">
      <c r="A13" s="20">
        <v>11</v>
      </c>
      <c r="B13" s="26" t="s">
        <v>32</v>
      </c>
      <c r="C13" s="26"/>
      <c r="D13" s="27" t="s">
        <v>10</v>
      </c>
      <c r="E13" s="28">
        <v>1</v>
      </c>
      <c r="F13" s="47">
        <v>20000</v>
      </c>
      <c r="G13" s="27"/>
      <c r="H13" s="30"/>
      <c r="I13" s="12"/>
      <c r="J13" s="67"/>
      <c r="K13" s="33">
        <v>11</v>
      </c>
      <c r="L13" s="99" t="s">
        <v>177</v>
      </c>
      <c r="M13" s="36" t="s">
        <v>175</v>
      </c>
      <c r="N13" s="27" t="s">
        <v>10</v>
      </c>
      <c r="O13" s="27" t="s">
        <v>210</v>
      </c>
      <c r="P13" s="27" t="s">
        <v>88</v>
      </c>
      <c r="Q13" s="27" t="s">
        <v>187</v>
      </c>
      <c r="R13" s="13"/>
    </row>
    <row r="14" spans="1:19" x14ac:dyDescent="0.55000000000000004">
      <c r="A14" s="25">
        <v>12</v>
      </c>
      <c r="B14" s="26" t="s">
        <v>27</v>
      </c>
      <c r="C14" s="26" t="s">
        <v>202</v>
      </c>
      <c r="D14" s="27" t="s">
        <v>16</v>
      </c>
      <c r="E14" s="28">
        <v>0.5</v>
      </c>
      <c r="F14" s="47">
        <v>10000</v>
      </c>
      <c r="G14" s="27"/>
      <c r="H14" s="30"/>
      <c r="I14" s="12"/>
      <c r="J14" s="67"/>
      <c r="K14" s="33">
        <v>12</v>
      </c>
      <c r="L14" s="26" t="s">
        <v>154</v>
      </c>
      <c r="M14" s="26" t="s">
        <v>192</v>
      </c>
      <c r="N14" s="27" t="s">
        <v>10</v>
      </c>
      <c r="O14" s="27"/>
      <c r="P14" s="27" t="s">
        <v>185</v>
      </c>
      <c r="Q14" s="27" t="s">
        <v>187</v>
      </c>
      <c r="R14" s="13" t="s">
        <v>183</v>
      </c>
    </row>
    <row r="15" spans="1:19" x14ac:dyDescent="0.55000000000000004">
      <c r="A15" s="20">
        <v>13</v>
      </c>
      <c r="B15" s="26" t="s">
        <v>21</v>
      </c>
      <c r="C15" s="37"/>
      <c r="D15" s="27" t="s">
        <v>11</v>
      </c>
      <c r="E15" s="28">
        <v>0.5</v>
      </c>
      <c r="F15" s="47">
        <v>10000</v>
      </c>
      <c r="G15" s="27"/>
      <c r="H15" s="30"/>
      <c r="I15" s="11"/>
      <c r="J15" s="67"/>
      <c r="K15" s="33">
        <v>13</v>
      </c>
      <c r="L15" s="99" t="s">
        <v>177</v>
      </c>
      <c r="M15" s="26" t="s">
        <v>181</v>
      </c>
      <c r="N15" s="27" t="s">
        <v>10</v>
      </c>
      <c r="O15" s="27"/>
      <c r="P15" s="27" t="s">
        <v>185</v>
      </c>
      <c r="Q15" s="27" t="s">
        <v>187</v>
      </c>
      <c r="R15" s="13" t="s">
        <v>183</v>
      </c>
    </row>
    <row r="16" spans="1:19" x14ac:dyDescent="0.55000000000000004">
      <c r="A16" s="25">
        <v>14</v>
      </c>
      <c r="B16" s="21" t="s">
        <v>150</v>
      </c>
      <c r="C16" s="21" t="s">
        <v>203</v>
      </c>
      <c r="D16" s="22" t="s">
        <v>16</v>
      </c>
      <c r="E16" s="38">
        <v>0.5</v>
      </c>
      <c r="F16" s="46">
        <v>10000</v>
      </c>
      <c r="G16" s="22"/>
      <c r="H16" s="30"/>
      <c r="I16" s="11"/>
      <c r="J16" s="67"/>
      <c r="K16" s="33">
        <v>14</v>
      </c>
      <c r="L16" s="99" t="s">
        <v>177</v>
      </c>
      <c r="M16" s="99" t="s">
        <v>186</v>
      </c>
      <c r="N16" s="27" t="s">
        <v>188</v>
      </c>
      <c r="O16" s="27"/>
      <c r="P16" s="27" t="s">
        <v>185</v>
      </c>
      <c r="Q16" s="27" t="s">
        <v>187</v>
      </c>
      <c r="R16" s="13"/>
    </row>
    <row r="17" spans="1:18" x14ac:dyDescent="0.55000000000000004">
      <c r="A17" s="20">
        <v>15</v>
      </c>
      <c r="B17" s="101" t="s">
        <v>33</v>
      </c>
      <c r="C17" s="101" t="s">
        <v>151</v>
      </c>
      <c r="D17" s="102" t="s">
        <v>16</v>
      </c>
      <c r="E17" s="103">
        <v>0</v>
      </c>
      <c r="F17" s="104">
        <v>0</v>
      </c>
      <c r="G17" s="102"/>
      <c r="H17" s="105"/>
      <c r="I17" s="12" t="s">
        <v>205</v>
      </c>
      <c r="J17" s="67"/>
      <c r="K17" s="33">
        <v>15</v>
      </c>
      <c r="L17" s="26"/>
      <c r="M17" s="26"/>
      <c r="N17" s="27"/>
      <c r="O17" s="27"/>
      <c r="P17" s="27"/>
      <c r="Q17" s="27"/>
      <c r="R17" s="13"/>
    </row>
    <row r="18" spans="1:18" x14ac:dyDescent="0.55000000000000004">
      <c r="A18" s="25">
        <v>16</v>
      </c>
      <c r="B18" s="26" t="s">
        <v>93</v>
      </c>
      <c r="C18" s="26" t="s">
        <v>204</v>
      </c>
      <c r="D18" s="27" t="s">
        <v>10</v>
      </c>
      <c r="E18" s="28">
        <v>0.5</v>
      </c>
      <c r="F18" s="47">
        <v>10000</v>
      </c>
      <c r="G18" s="30"/>
      <c r="H18" s="30"/>
      <c r="I18" s="12"/>
      <c r="J18" s="67"/>
      <c r="K18" s="33">
        <v>16</v>
      </c>
      <c r="L18" s="26"/>
      <c r="M18" s="26"/>
      <c r="N18" s="27"/>
      <c r="O18" s="27"/>
      <c r="P18" s="27"/>
      <c r="Q18" s="27"/>
      <c r="R18" s="13"/>
    </row>
    <row r="19" spans="1:18" x14ac:dyDescent="0.55000000000000004">
      <c r="A19" s="20">
        <v>17</v>
      </c>
      <c r="B19" s="26" t="s">
        <v>160</v>
      </c>
      <c r="C19" s="26" t="s">
        <v>178</v>
      </c>
      <c r="D19" s="27" t="s">
        <v>161</v>
      </c>
      <c r="E19" s="34">
        <v>1</v>
      </c>
      <c r="F19" s="47">
        <v>20000</v>
      </c>
      <c r="G19" s="27" t="s">
        <v>166</v>
      </c>
      <c r="H19" s="27"/>
      <c r="I19" s="12"/>
      <c r="J19" s="67"/>
      <c r="K19" s="33">
        <v>17</v>
      </c>
      <c r="L19" s="29" t="s">
        <v>195</v>
      </c>
      <c r="M19" s="29"/>
      <c r="N19" s="30" t="s">
        <v>49</v>
      </c>
      <c r="O19" s="30"/>
      <c r="P19" s="30"/>
      <c r="Q19" s="30"/>
      <c r="R19" s="79"/>
    </row>
    <row r="20" spans="1:18" x14ac:dyDescent="0.55000000000000004">
      <c r="A20" s="25">
        <v>18</v>
      </c>
      <c r="B20" s="26" t="s">
        <v>162</v>
      </c>
      <c r="C20" s="26"/>
      <c r="D20" s="27" t="s">
        <v>164</v>
      </c>
      <c r="E20" s="28"/>
      <c r="F20" s="47"/>
      <c r="G20" s="27"/>
      <c r="H20" s="27"/>
      <c r="I20" s="12"/>
      <c r="J20" s="67"/>
      <c r="K20" s="33">
        <v>18</v>
      </c>
      <c r="L20" s="29"/>
      <c r="M20" s="29"/>
      <c r="N20" s="30"/>
      <c r="O20" s="30"/>
      <c r="P20" s="30"/>
      <c r="Q20" s="30"/>
      <c r="R20" s="79"/>
    </row>
    <row r="21" spans="1:18" x14ac:dyDescent="0.55000000000000004">
      <c r="A21" s="20">
        <v>19</v>
      </c>
      <c r="B21" s="26" t="s">
        <v>163</v>
      </c>
      <c r="C21" s="26"/>
      <c r="D21" s="27" t="s">
        <v>164</v>
      </c>
      <c r="E21" s="28"/>
      <c r="F21" s="47"/>
      <c r="G21" s="27"/>
      <c r="H21" s="27"/>
      <c r="I21" s="12"/>
      <c r="J21" s="67"/>
      <c r="K21" s="33">
        <v>19</v>
      </c>
      <c r="L21" s="29" t="s">
        <v>157</v>
      </c>
      <c r="M21" s="29"/>
      <c r="N21" s="30" t="s">
        <v>17</v>
      </c>
      <c r="O21" s="30"/>
      <c r="P21" s="30"/>
      <c r="Q21" s="30"/>
      <c r="R21" s="79"/>
    </row>
    <row r="22" spans="1:18" x14ac:dyDescent="0.55000000000000004">
      <c r="A22" s="25">
        <v>20</v>
      </c>
      <c r="B22" s="26"/>
      <c r="C22" s="26"/>
      <c r="D22" s="27"/>
      <c r="E22" s="28"/>
      <c r="F22" s="47"/>
      <c r="G22" s="27"/>
      <c r="H22" s="27"/>
      <c r="I22" s="13"/>
      <c r="J22" s="68"/>
      <c r="K22" s="33">
        <v>20</v>
      </c>
      <c r="L22" s="26" t="s">
        <v>156</v>
      </c>
      <c r="M22" s="26" t="s">
        <v>155</v>
      </c>
      <c r="N22" s="27" t="s">
        <v>158</v>
      </c>
      <c r="O22" s="27"/>
      <c r="P22" s="27"/>
      <c r="Q22" s="27"/>
      <c r="R22" s="79"/>
    </row>
    <row r="23" spans="1:18" x14ac:dyDescent="0.55000000000000004">
      <c r="A23" s="20"/>
      <c r="B23" s="26"/>
      <c r="C23" s="26"/>
      <c r="D23" s="27"/>
      <c r="E23" s="28"/>
      <c r="F23" s="47"/>
      <c r="G23" s="27"/>
      <c r="H23" s="27"/>
      <c r="I23" s="13"/>
      <c r="J23" s="68"/>
      <c r="K23" s="33">
        <v>21</v>
      </c>
      <c r="L23" s="26"/>
      <c r="M23" s="26"/>
      <c r="N23" s="27"/>
      <c r="O23" s="27"/>
      <c r="P23" s="27"/>
      <c r="Q23" s="27"/>
      <c r="R23" s="79"/>
    </row>
    <row r="24" spans="1:18" x14ac:dyDescent="0.55000000000000004">
      <c r="A24" s="20"/>
      <c r="B24" s="26"/>
      <c r="C24" s="26"/>
      <c r="D24" s="27"/>
      <c r="E24" s="28"/>
      <c r="F24" s="113"/>
      <c r="G24" s="27"/>
      <c r="H24" s="27"/>
      <c r="I24" s="13"/>
      <c r="J24" s="68"/>
      <c r="K24" s="33">
        <v>22</v>
      </c>
      <c r="L24" s="26" t="s">
        <v>122</v>
      </c>
      <c r="M24" s="26"/>
      <c r="N24" s="27" t="s">
        <v>124</v>
      </c>
      <c r="O24" s="27"/>
      <c r="P24" s="27"/>
      <c r="Q24" s="27"/>
      <c r="R24" s="79"/>
    </row>
    <row r="25" spans="1:18" x14ac:dyDescent="0.55000000000000004">
      <c r="A25" s="20"/>
      <c r="B25" s="26"/>
      <c r="C25" s="26"/>
      <c r="D25" s="27"/>
      <c r="E25" s="28"/>
      <c r="F25" s="113"/>
      <c r="G25" s="27"/>
      <c r="H25" s="30"/>
      <c r="I25" s="13"/>
      <c r="J25" s="68"/>
      <c r="K25" s="33">
        <v>23</v>
      </c>
      <c r="L25" s="26" t="s">
        <v>123</v>
      </c>
      <c r="M25" s="26"/>
      <c r="N25" s="177" t="s">
        <v>36</v>
      </c>
      <c r="O25" s="27"/>
      <c r="P25" s="27"/>
      <c r="Q25" s="27"/>
      <c r="R25" s="79"/>
    </row>
    <row r="26" spans="1:18" x14ac:dyDescent="0.55000000000000004">
      <c r="A26" s="25"/>
      <c r="B26" s="26"/>
      <c r="C26" s="26"/>
      <c r="D26" s="27"/>
      <c r="E26" s="28"/>
      <c r="F26" s="113"/>
      <c r="G26" s="27"/>
      <c r="H26" s="27"/>
      <c r="I26" s="13"/>
      <c r="J26" s="68"/>
      <c r="K26" s="33">
        <v>24</v>
      </c>
      <c r="L26" s="36" t="s">
        <v>206</v>
      </c>
      <c r="M26" s="36"/>
      <c r="N26" s="27" t="s">
        <v>47</v>
      </c>
      <c r="O26" s="27"/>
      <c r="P26" s="27"/>
      <c r="Q26" s="27"/>
      <c r="R26" s="13"/>
    </row>
    <row r="27" spans="1:18" ht="18.5" thickBot="1" x14ac:dyDescent="0.6">
      <c r="A27" s="39"/>
      <c r="B27" s="40"/>
      <c r="C27" s="40"/>
      <c r="D27" s="41" t="s">
        <v>70</v>
      </c>
      <c r="E27" s="42">
        <f>SUM(E3:E26)</f>
        <v>10.75</v>
      </c>
      <c r="F27" s="48" t="s">
        <v>71</v>
      </c>
      <c r="G27" s="43" t="s">
        <v>73</v>
      </c>
      <c r="H27" s="43"/>
      <c r="I27" s="14" t="s">
        <v>74</v>
      </c>
      <c r="K27" s="33">
        <v>25</v>
      </c>
      <c r="L27" s="26"/>
      <c r="M27" s="36"/>
      <c r="N27" s="27"/>
      <c r="O27" s="27"/>
      <c r="P27" s="27"/>
      <c r="Q27" s="27"/>
      <c r="R27" s="13"/>
    </row>
    <row r="28" spans="1:18" ht="18.5" thickBot="1" x14ac:dyDescent="0.6">
      <c r="A28" s="61"/>
      <c r="B28" s="92"/>
      <c r="C28" s="92"/>
      <c r="D28" s="61"/>
      <c r="E28" s="93"/>
      <c r="F28" s="109"/>
      <c r="G28" s="61"/>
      <c r="H28" s="61"/>
      <c r="I28" s="95"/>
      <c r="K28" s="33">
        <v>26</v>
      </c>
      <c r="L28" s="36"/>
      <c r="M28" s="26"/>
      <c r="N28" s="27"/>
      <c r="O28" s="27"/>
      <c r="P28" s="27"/>
      <c r="Q28" s="27"/>
      <c r="R28" s="13"/>
    </row>
    <row r="29" spans="1:18" x14ac:dyDescent="0.55000000000000004">
      <c r="A29" s="114" t="s">
        <v>20</v>
      </c>
      <c r="B29" s="152" t="s">
        <v>167</v>
      </c>
      <c r="C29" s="158"/>
      <c r="D29" s="158"/>
      <c r="E29" s="158"/>
      <c r="F29" s="158"/>
      <c r="G29" s="158"/>
      <c r="H29" s="158"/>
      <c r="I29" s="159"/>
      <c r="K29" s="33">
        <v>29</v>
      </c>
      <c r="L29" s="26" t="s">
        <v>165</v>
      </c>
      <c r="M29" s="26"/>
      <c r="N29" s="27"/>
      <c r="O29" s="27"/>
      <c r="P29" s="27"/>
      <c r="Q29" s="27"/>
      <c r="R29" s="79"/>
    </row>
    <row r="30" spans="1:18" ht="18.5" thickBot="1" x14ac:dyDescent="0.6">
      <c r="A30" s="115"/>
      <c r="B30" s="168" t="s">
        <v>126</v>
      </c>
      <c r="C30" s="169"/>
      <c r="D30" s="110" t="s">
        <v>131</v>
      </c>
      <c r="E30" s="110" t="s">
        <v>127</v>
      </c>
      <c r="F30" s="110" t="s">
        <v>128</v>
      </c>
      <c r="G30" s="168" t="s">
        <v>4</v>
      </c>
      <c r="H30" s="170"/>
      <c r="I30" s="171"/>
      <c r="K30" s="33" t="s">
        <v>148</v>
      </c>
      <c r="L30" s="36" t="s">
        <v>105</v>
      </c>
      <c r="M30" s="36" t="s">
        <v>62</v>
      </c>
      <c r="N30" s="27" t="s">
        <v>10</v>
      </c>
      <c r="O30" s="27"/>
      <c r="P30" s="27"/>
      <c r="Q30" s="27" t="s">
        <v>82</v>
      </c>
      <c r="R30" s="13"/>
    </row>
    <row r="31" spans="1:18" ht="19" thickTop="1" thickBot="1" x14ac:dyDescent="0.6">
      <c r="A31" s="20">
        <v>1</v>
      </c>
      <c r="B31" s="160" t="s">
        <v>168</v>
      </c>
      <c r="C31" s="161"/>
      <c r="D31" s="22" t="s">
        <v>132</v>
      </c>
      <c r="E31" s="22" t="s">
        <v>134</v>
      </c>
      <c r="F31" s="22" t="s">
        <v>134</v>
      </c>
      <c r="G31" s="162" t="s">
        <v>135</v>
      </c>
      <c r="H31" s="161"/>
      <c r="I31" s="163"/>
      <c r="K31" s="74"/>
      <c r="L31" s="75"/>
      <c r="M31" s="76"/>
      <c r="N31" s="77"/>
      <c r="O31" s="77"/>
      <c r="P31" s="77"/>
      <c r="Q31" s="77"/>
      <c r="R31" s="78"/>
    </row>
    <row r="32" spans="1:18" x14ac:dyDescent="0.55000000000000004">
      <c r="A32" s="25">
        <v>2</v>
      </c>
      <c r="B32" s="164" t="s">
        <v>169</v>
      </c>
      <c r="C32" s="165"/>
      <c r="D32" s="27" t="s">
        <v>132</v>
      </c>
      <c r="E32" s="27" t="s">
        <v>133</v>
      </c>
      <c r="F32" s="27" t="s">
        <v>133</v>
      </c>
      <c r="G32" s="166"/>
      <c r="H32" s="165"/>
      <c r="I32" s="167"/>
      <c r="L32" s="32"/>
    </row>
    <row r="33" spans="1:18" x14ac:dyDescent="0.55000000000000004">
      <c r="A33" s="25">
        <v>3</v>
      </c>
      <c r="B33" s="176" t="s">
        <v>170</v>
      </c>
      <c r="C33" s="165"/>
      <c r="D33" s="27" t="s">
        <v>132</v>
      </c>
      <c r="E33" s="27" t="s">
        <v>134</v>
      </c>
      <c r="F33" s="27" t="s">
        <v>134</v>
      </c>
      <c r="G33" s="166" t="s">
        <v>137</v>
      </c>
      <c r="H33" s="165"/>
      <c r="I33" s="167"/>
      <c r="K33" s="107" t="s">
        <v>116</v>
      </c>
      <c r="L33" s="106" t="s">
        <v>142</v>
      </c>
      <c r="M33" s="106"/>
      <c r="N33" s="107" t="s">
        <v>36</v>
      </c>
      <c r="O33" s="107"/>
      <c r="P33" s="107"/>
      <c r="Q33" s="107"/>
      <c r="R33" s="108" t="s">
        <v>143</v>
      </c>
    </row>
    <row r="34" spans="1:18" x14ac:dyDescent="0.55000000000000004">
      <c r="A34" s="25">
        <v>4</v>
      </c>
      <c r="B34" s="176" t="s">
        <v>171</v>
      </c>
      <c r="C34" s="165"/>
      <c r="D34" s="27"/>
      <c r="E34" s="27"/>
      <c r="F34" s="27"/>
      <c r="G34" s="166"/>
      <c r="H34" s="165"/>
      <c r="I34" s="167"/>
      <c r="K34" s="107" t="s">
        <v>116</v>
      </c>
      <c r="L34" s="106" t="s">
        <v>208</v>
      </c>
      <c r="M34" s="106"/>
      <c r="N34" s="107" t="s">
        <v>36</v>
      </c>
      <c r="O34" s="107"/>
      <c r="P34" s="107"/>
      <c r="Q34" s="107"/>
      <c r="R34" s="108" t="s">
        <v>207</v>
      </c>
    </row>
    <row r="35" spans="1:18" x14ac:dyDescent="0.55000000000000004">
      <c r="A35" s="25">
        <v>5</v>
      </c>
      <c r="B35" s="176"/>
      <c r="C35" s="165"/>
      <c r="D35" s="27"/>
      <c r="E35" s="27"/>
      <c r="F35" s="27"/>
      <c r="G35" s="166"/>
      <c r="H35" s="165"/>
      <c r="I35" s="167"/>
    </row>
    <row r="36" spans="1:18" ht="18.5" thickBot="1" x14ac:dyDescent="0.6">
      <c r="A36" s="39">
        <v>6</v>
      </c>
      <c r="B36" s="172"/>
      <c r="C36" s="173"/>
      <c r="D36" s="77"/>
      <c r="E36" s="77"/>
      <c r="F36" s="111"/>
      <c r="G36" s="174"/>
      <c r="H36" s="173"/>
      <c r="I36" s="175"/>
    </row>
    <row r="37" spans="1:18" x14ac:dyDescent="0.55000000000000004">
      <c r="F37" s="112"/>
    </row>
  </sheetData>
  <mergeCells count="19">
    <mergeCell ref="B36:C36"/>
    <mergeCell ref="G36:I36"/>
    <mergeCell ref="B33:C33"/>
    <mergeCell ref="G33:I33"/>
    <mergeCell ref="B34:C34"/>
    <mergeCell ref="G34:I34"/>
    <mergeCell ref="B35:C35"/>
    <mergeCell ref="G35:I35"/>
    <mergeCell ref="B31:C31"/>
    <mergeCell ref="G31:I31"/>
    <mergeCell ref="B32:C32"/>
    <mergeCell ref="G32:I32"/>
    <mergeCell ref="B30:C30"/>
    <mergeCell ref="G30:I30"/>
    <mergeCell ref="A1:A2"/>
    <mergeCell ref="B1:I1"/>
    <mergeCell ref="K1:K2"/>
    <mergeCell ref="L1:R1"/>
    <mergeCell ref="B29:I29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831E-FD73-4551-BF8A-185ABA9054ED}">
  <sheetPr>
    <pageSetUpPr fitToPage="1"/>
  </sheetPr>
  <dimension ref="A2:H3"/>
  <sheetViews>
    <sheetView topLeftCell="B1" workbookViewId="0">
      <selection activeCell="F22" sqref="F22"/>
    </sheetView>
  </sheetViews>
  <sheetFormatPr defaultRowHeight="18" x14ac:dyDescent="0.55000000000000004"/>
  <cols>
    <col min="1" max="1" width="6.58203125" style="2" customWidth="1"/>
    <col min="2" max="2" width="24.58203125" customWidth="1"/>
    <col min="3" max="3" width="52.83203125" bestFit="1" customWidth="1"/>
    <col min="4" max="4" width="13" style="2" bestFit="1" customWidth="1"/>
    <col min="5" max="5" width="11.58203125" style="4" bestFit="1" customWidth="1"/>
    <col min="6" max="6" width="11.25" style="3" customWidth="1"/>
    <col min="7" max="8" width="9" style="2"/>
    <col min="9" max="9" width="12.08203125" customWidth="1"/>
    <col min="10" max="10" width="11" bestFit="1" customWidth="1"/>
  </cols>
  <sheetData>
    <row r="2" spans="2:2" x14ac:dyDescent="0.55000000000000004">
      <c r="B2" s="5" t="s">
        <v>34</v>
      </c>
    </row>
    <row r="3" spans="2:2" x14ac:dyDescent="0.55000000000000004">
      <c r="B3" s="1"/>
    </row>
  </sheetData>
  <phoneticPr fontId="3"/>
  <pageMargins left="0.7" right="0.7" top="0.75" bottom="0.75" header="0.3" footer="0.3"/>
  <pageSetup paperSize="9" scale="5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2025年度(36回 参考)</vt:lpstr>
      <vt:lpstr>2026年度(37回 今回)</vt:lpstr>
      <vt:lpstr>広告サイズ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剛</dc:creator>
  <cp:lastModifiedBy>畠澤守</cp:lastModifiedBy>
  <cp:lastPrinted>2025-06-18T06:23:14Z</cp:lastPrinted>
  <dcterms:created xsi:type="dcterms:W3CDTF">2025-06-03T23:36:38Z</dcterms:created>
  <dcterms:modified xsi:type="dcterms:W3CDTF">2026-04-15T08:36:20Z</dcterms:modified>
</cp:coreProperties>
</file>